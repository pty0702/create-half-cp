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 firstSheet="2" activeTab="1"/>
  </bookViews>
  <sheets>
    <sheet name="原材料（2）" sheetId="5" r:id="rId1"/>
    <sheet name="账里原材料" sheetId="4" r:id="rId2"/>
    <sheet name="产成品（2）" sheetId="1" r:id="rId3"/>
    <sheet name="Sheet2" sheetId="2" r:id="rId4"/>
    <sheet name="Sheet3" sheetId="3" r:id="rId5"/>
    <sheet name="产量" sheetId="7" r:id="rId6"/>
    <sheet name="原材料 " sheetId="6" r:id="rId7"/>
  </sheets>
  <definedNames>
    <definedName name="_xlnm._FilterDatabase" localSheetId="5" hidden="1">产量!$C$3:$C$182</definedName>
    <definedName name="UFPrn20260428090050">账里原材料!$A$1:$C$221</definedName>
    <definedName name="_xlnm._FilterDatabase" localSheetId="0" hidden="1">'原材料（2）'!$B$6:$AQ$107</definedName>
    <definedName name="_xlnm._FilterDatabase" localSheetId="1" hidden="1">账里原材料!$A$1:$C$221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D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可添加项</t>
        </r>
      </text>
    </comment>
    <comment ref="D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20%精甲、17% 20%谷子、6.5%加</t>
        </r>
      </text>
    </comment>
    <comment ref="D69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平均值计算 </t>
        </r>
      </text>
    </comment>
    <comment ref="D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增加项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富民方</t>
        </r>
      </text>
    </comment>
    <comment ref="A1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富民方</t>
        </r>
      </text>
    </comment>
    <comment ref="A1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富民方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作者</author>
  </authors>
  <commentList>
    <comment ref="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可添加项</t>
        </r>
      </text>
    </comment>
    <comment ref="A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12月10号 通知：助剂库存用完后取消使用</t>
        </r>
      </text>
    </comment>
    <comment ref="A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20%精甲、17% 20%谷子、6.5%加</t>
        </r>
      </text>
    </comment>
    <comment ref="A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可添加项</t>
        </r>
      </text>
    </comment>
    <comment ref="A98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平均值计算 </t>
        </r>
      </text>
    </comment>
    <comment ref="A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增加项</t>
        </r>
      </text>
    </comment>
  </commentList>
</comments>
</file>

<file path=xl/sharedStrings.xml><?xml version="1.0" encoding="utf-8"?>
<sst xmlns="http://schemas.openxmlformats.org/spreadsheetml/2006/main" count="1661" uniqueCount="974">
  <si>
    <t>6％戊唑醇悬浮种衣剂</t>
  </si>
  <si>
    <t>50％硫双威种子处理乳剂</t>
  </si>
  <si>
    <t>25％多．福．毒死蜱悬浮种衣剂</t>
  </si>
  <si>
    <t>丁硫克百威种子处理干粉剂≥35 ％</t>
  </si>
  <si>
    <t>6％戊唑．福美双干粉种衣剂</t>
  </si>
  <si>
    <t>63％吡．萎．福美双干粉种衣剂</t>
  </si>
  <si>
    <t>010106</t>
  </si>
  <si>
    <t>010104</t>
  </si>
  <si>
    <t>010140</t>
  </si>
  <si>
    <t>010150</t>
  </si>
  <si>
    <t>010114</t>
  </si>
  <si>
    <t>010113</t>
  </si>
  <si>
    <t>010185</t>
  </si>
  <si>
    <t>010141</t>
  </si>
  <si>
    <t>010128</t>
  </si>
  <si>
    <t>010148</t>
  </si>
  <si>
    <t>010105</t>
  </si>
  <si>
    <t>010195</t>
  </si>
  <si>
    <t>010110</t>
  </si>
  <si>
    <t>010165</t>
  </si>
  <si>
    <t>010117</t>
  </si>
  <si>
    <t>010160</t>
  </si>
  <si>
    <t>010108</t>
  </si>
  <si>
    <t>010125</t>
  </si>
  <si>
    <t>010138</t>
  </si>
  <si>
    <t>140302010106</t>
  </si>
  <si>
    <t>140302010150</t>
  </si>
  <si>
    <t>140302010125</t>
  </si>
  <si>
    <t>140302110135</t>
  </si>
  <si>
    <t>140302110106</t>
  </si>
  <si>
    <t>140302110163</t>
  </si>
  <si>
    <t>科目编码</t>
  </si>
  <si>
    <t>科目名称</t>
  </si>
  <si>
    <t xml:space="preserve">            产品名称    原材料</t>
  </si>
  <si>
    <t>6%戊唑醇</t>
  </si>
  <si>
    <t>40%丁硫克百威</t>
  </si>
  <si>
    <t>40%噻虫嗪</t>
  </si>
  <si>
    <t>50%硫双威</t>
  </si>
  <si>
    <t>氯虫苯甲酰胺悬浮剂</t>
  </si>
  <si>
    <t>6%噻呋精咯</t>
  </si>
  <si>
    <t>22.5%睛甲咯噻</t>
  </si>
  <si>
    <t>40%丙硫菌唑戊唑醇</t>
  </si>
  <si>
    <t>14%丙硫唑·吡唑酯·噻虫胺</t>
  </si>
  <si>
    <t>48%噻虫胺</t>
  </si>
  <si>
    <t>6.5%戊·氯·吡虫啉</t>
  </si>
  <si>
    <t>2.9%吡甲精(蓝)</t>
  </si>
  <si>
    <t>11g/L精甲咯嘧</t>
  </si>
  <si>
    <t>35g/l精甲·咯菌晴</t>
  </si>
  <si>
    <t>微量元素肥</t>
  </si>
  <si>
    <t>17%多·福</t>
  </si>
  <si>
    <t>25g/L咯菌晴</t>
  </si>
  <si>
    <t>10%氨基酸</t>
  </si>
  <si>
    <t>2.5%咪鲜·吡虫啉（彩衣）</t>
  </si>
  <si>
    <t>25%多·毒·福</t>
  </si>
  <si>
    <t>38%多·毒·福</t>
  </si>
  <si>
    <t>给丽膜（S100金黄）</t>
  </si>
  <si>
    <t>给丽膜（S-蓝）</t>
  </si>
  <si>
    <t>给丽膜（S-红）</t>
  </si>
  <si>
    <t>70%吡虫啉</t>
  </si>
  <si>
    <t>6%戊唑·福美双</t>
  </si>
  <si>
    <t>70%噻虫嗪</t>
  </si>
  <si>
    <t>35%丁硫克百威处理剂</t>
  </si>
  <si>
    <t>6%戊唑醇（半成品）</t>
  </si>
  <si>
    <t>50%硫双威（半成品）</t>
  </si>
  <si>
    <t>40%稻瘟酰胺（半成品）</t>
  </si>
  <si>
    <t>25%多·毒·福（半成品）</t>
  </si>
  <si>
    <t>微量元素肥（半成品）</t>
  </si>
  <si>
    <t>35%丁硫克百威处理剂（半成品）</t>
  </si>
  <si>
    <t>6%戊唑·福美双（半成品）</t>
  </si>
  <si>
    <t>63%吡萎福（半成品）</t>
  </si>
  <si>
    <t>合计</t>
  </si>
  <si>
    <t>2400kg</t>
  </si>
  <si>
    <t>700kg</t>
  </si>
  <si>
    <t>500kg</t>
  </si>
  <si>
    <t>1700kg</t>
  </si>
  <si>
    <t>1000kg</t>
  </si>
  <si>
    <t>350kg</t>
  </si>
  <si>
    <t>2000kg</t>
  </si>
  <si>
    <t>800kg</t>
  </si>
  <si>
    <t>140202010102</t>
  </si>
  <si>
    <t>福美双</t>
  </si>
  <si>
    <t>140202010103</t>
  </si>
  <si>
    <t>多菌灵</t>
  </si>
  <si>
    <t>140202010105</t>
  </si>
  <si>
    <t>丁硫克百威</t>
  </si>
  <si>
    <t>140202010106</t>
  </si>
  <si>
    <t>硫双威</t>
  </si>
  <si>
    <t>140202010107</t>
  </si>
  <si>
    <t>丙硫菌唑98 ％（25kg／袋）</t>
  </si>
  <si>
    <t>丙硫菌唑</t>
  </si>
  <si>
    <t>140202010131</t>
  </si>
  <si>
    <t>吡虫啉</t>
  </si>
  <si>
    <t>140202010133</t>
  </si>
  <si>
    <t>萎锈灵</t>
  </si>
  <si>
    <t>140202010134</t>
  </si>
  <si>
    <t>戊唑醇</t>
  </si>
  <si>
    <t>140202010138</t>
  </si>
  <si>
    <t>毒死蜱</t>
  </si>
  <si>
    <t>140202010154</t>
  </si>
  <si>
    <t>噻虫嗪</t>
  </si>
  <si>
    <t>140202010156</t>
  </si>
  <si>
    <t>噻虫胺</t>
  </si>
  <si>
    <t>140202010157</t>
  </si>
  <si>
    <t>嘧菌酯</t>
  </si>
  <si>
    <t>140202010173</t>
  </si>
  <si>
    <t>吡唑醚菌酯（25kg／桶）</t>
  </si>
  <si>
    <t>吡唑嘧菌酯</t>
  </si>
  <si>
    <t>140202016101</t>
  </si>
  <si>
    <t>细胞分裂素</t>
  </si>
  <si>
    <t>140202016102</t>
  </si>
  <si>
    <t>芸苔素</t>
  </si>
  <si>
    <t>140202016106</t>
  </si>
  <si>
    <t>环丙磺酰胺99％（1kg／瓶）</t>
  </si>
  <si>
    <t>环丙磺酰胺</t>
  </si>
  <si>
    <t>140202017111</t>
  </si>
  <si>
    <t>尿素</t>
  </si>
  <si>
    <t>140202017112</t>
  </si>
  <si>
    <t>锌肥（硫酸锌）</t>
  </si>
  <si>
    <t>140202017113</t>
  </si>
  <si>
    <t>硫酸锰98％（25kg／袋）</t>
  </si>
  <si>
    <t>硫酸锰</t>
  </si>
  <si>
    <t>140202210101</t>
  </si>
  <si>
    <t>玫瑰精</t>
  </si>
  <si>
    <t>140202210111</t>
  </si>
  <si>
    <t>荧光粉（珠光颜料）</t>
  </si>
  <si>
    <t>140202210112</t>
  </si>
  <si>
    <t>警戒色</t>
  </si>
  <si>
    <t>3120 红色粉</t>
  </si>
  <si>
    <t>140202210116</t>
  </si>
  <si>
    <t>酞青蓝色浆</t>
  </si>
  <si>
    <t>世名蓝色浆</t>
  </si>
  <si>
    <t>140202210120</t>
  </si>
  <si>
    <t>红色浆（科莱恩）</t>
  </si>
  <si>
    <t>克莱恩红色浆</t>
  </si>
  <si>
    <t>140202210131</t>
  </si>
  <si>
    <t>黄色浆HR合格品（30kg／桶）</t>
  </si>
  <si>
    <t>克莱恩金黄色浆</t>
  </si>
  <si>
    <t>140202212101</t>
  </si>
  <si>
    <t>农用助剂（JSC-SC3）</t>
  </si>
  <si>
    <t>农用助剂（YUS-FS3000）</t>
  </si>
  <si>
    <t>140202212103</t>
  </si>
  <si>
    <t>农用助剂（JSC-SXC）</t>
  </si>
  <si>
    <t>140202212104</t>
  </si>
  <si>
    <t>农用助剂（JSC-207K）</t>
  </si>
  <si>
    <t>140202212119</t>
  </si>
  <si>
    <t>农用助剂（PICO-DF101）</t>
  </si>
  <si>
    <t>DF101</t>
  </si>
  <si>
    <t>140202212121</t>
  </si>
  <si>
    <t>农用助剂（PICO-TXC）</t>
  </si>
  <si>
    <t>农用助剂（TXC）</t>
  </si>
  <si>
    <t>140202212122</t>
  </si>
  <si>
    <t>农用助剂（PICO-NW2）</t>
  </si>
  <si>
    <t>140202212131</t>
  </si>
  <si>
    <t>农用助剂（RXB）</t>
  </si>
  <si>
    <t>140202214112</t>
  </si>
  <si>
    <t>乳化剂600＃</t>
  </si>
  <si>
    <t>140202216111</t>
  </si>
  <si>
    <t>黄原胶</t>
  </si>
  <si>
    <t>140202216112</t>
  </si>
  <si>
    <t>稳定剂</t>
  </si>
  <si>
    <t>稳定剂（防冻液）</t>
  </si>
  <si>
    <t>140202216113</t>
  </si>
  <si>
    <t>聚乙烯醇（17-88）</t>
  </si>
  <si>
    <t>140202216115</t>
  </si>
  <si>
    <t>有机硅（固体）</t>
  </si>
  <si>
    <t>有机硅（固体-SHE）</t>
  </si>
  <si>
    <t>140202216116</t>
  </si>
  <si>
    <t>拉开粉</t>
  </si>
  <si>
    <t>拉开粉（BX）</t>
  </si>
  <si>
    <t>140202216117</t>
  </si>
  <si>
    <t>扩散剂（NNO）</t>
  </si>
  <si>
    <t>140202216118</t>
  </si>
  <si>
    <t>扩散剂（MF）</t>
  </si>
  <si>
    <t>140202216119</t>
  </si>
  <si>
    <t>白乳胶</t>
  </si>
  <si>
    <t>140202216123</t>
  </si>
  <si>
    <t>AC-310</t>
  </si>
  <si>
    <t>AC-310（122）乳液</t>
  </si>
  <si>
    <t>140202216124</t>
  </si>
  <si>
    <t>二丙二醇甲醚</t>
  </si>
  <si>
    <t>140202216125</t>
  </si>
  <si>
    <t>DS539</t>
  </si>
  <si>
    <t>140202216131</t>
  </si>
  <si>
    <t>DS505</t>
  </si>
  <si>
    <t>140202216132</t>
  </si>
  <si>
    <t>药膜树脂</t>
  </si>
  <si>
    <t>140202216137</t>
  </si>
  <si>
    <t>表面活性剂（BC/10）</t>
  </si>
  <si>
    <t>140202216138</t>
  </si>
  <si>
    <t>表面活性剂（FD）</t>
  </si>
  <si>
    <t>140202216148</t>
  </si>
  <si>
    <t>Picassian PU-693合格品</t>
  </si>
  <si>
    <t>693助剂</t>
  </si>
  <si>
    <t>140202216150</t>
  </si>
  <si>
    <t>蜡助剂</t>
  </si>
  <si>
    <t>582 助剂</t>
  </si>
  <si>
    <t>140202216151</t>
  </si>
  <si>
    <t>白炭黑（黑碳）</t>
  </si>
  <si>
    <t>140202216152</t>
  </si>
  <si>
    <t>苯丙乳液</t>
  </si>
  <si>
    <t>140202216153</t>
  </si>
  <si>
    <t>聚丙烯酰胺</t>
  </si>
  <si>
    <t>140202216154</t>
  </si>
  <si>
    <t>聚乙二醇（PEG-6000）</t>
  </si>
  <si>
    <t>140202216156</t>
  </si>
  <si>
    <t>羟乙基纤维素</t>
  </si>
  <si>
    <t>140202216157</t>
  </si>
  <si>
    <t>三聚磷酸钠</t>
  </si>
  <si>
    <t>140202216158</t>
  </si>
  <si>
    <t>十二烷基硫酸钠</t>
  </si>
  <si>
    <t>十二烷基硫酸钠（K-12)</t>
  </si>
  <si>
    <t>140202216160</t>
  </si>
  <si>
    <t>木质素</t>
  </si>
  <si>
    <t>U-3a(木质素)</t>
  </si>
  <si>
    <t>140202216164</t>
  </si>
  <si>
    <t>乳液AC349</t>
  </si>
  <si>
    <t>349助剂</t>
  </si>
  <si>
    <t>140202216165</t>
  </si>
  <si>
    <t>LS1250（25kg／袋）</t>
  </si>
  <si>
    <t>LS1250（高硅粉）</t>
  </si>
  <si>
    <t>140202216166</t>
  </si>
  <si>
    <t>乳化剂JP1601（200kg／桶）</t>
  </si>
  <si>
    <t>1601助剂</t>
  </si>
  <si>
    <t>140202216167</t>
  </si>
  <si>
    <t>NurtureYield2104（200kg／桶）</t>
  </si>
  <si>
    <t>2104助剂</t>
  </si>
  <si>
    <t>140202216168</t>
  </si>
  <si>
    <t>表面活性剂AGRILAN 755（170．1kg／桶）</t>
  </si>
  <si>
    <t>140202216169</t>
  </si>
  <si>
    <t>防腐剂S30（25kg／桶）</t>
  </si>
  <si>
    <t>防腐剂S30</t>
  </si>
  <si>
    <t>140202216174</t>
  </si>
  <si>
    <t>硅酸镁铝</t>
  </si>
  <si>
    <t>140202216179</t>
  </si>
  <si>
    <t>D350（20kg／袋）</t>
  </si>
  <si>
    <t>D-350</t>
  </si>
  <si>
    <t>140202216180</t>
  </si>
  <si>
    <t>DS507（200kg／桶）</t>
  </si>
  <si>
    <t>DS507</t>
  </si>
  <si>
    <t>140202216189</t>
  </si>
  <si>
    <t>稳定剂（丙）</t>
  </si>
  <si>
    <t>140202216193</t>
  </si>
  <si>
    <t>PICOJS60</t>
  </si>
  <si>
    <t>SJ60（助剂）</t>
  </si>
  <si>
    <t>140202216194</t>
  </si>
  <si>
    <t>环氧亚麻仁油0-180A</t>
  </si>
  <si>
    <t>环氧亚麻仁油</t>
  </si>
  <si>
    <t>140202216196</t>
  </si>
  <si>
    <t>PICOSC70（200kg／桶）</t>
  </si>
  <si>
    <t>SC70</t>
  </si>
  <si>
    <t>140202216198</t>
  </si>
  <si>
    <t>PICO10500SL（1000kg／桶）</t>
  </si>
  <si>
    <t>10500助剂</t>
  </si>
  <si>
    <t>140202216199</t>
  </si>
  <si>
    <t>LS6100（50kg／桶）</t>
  </si>
  <si>
    <t>LS6100</t>
  </si>
  <si>
    <t>140202218109</t>
  </si>
  <si>
    <t>柠檬酸99％（25kg／桶）</t>
  </si>
  <si>
    <t>柠檬酸</t>
  </si>
  <si>
    <t>140202218121</t>
  </si>
  <si>
    <t>七水硫酸亚铁98％（25kg／袋）</t>
  </si>
  <si>
    <t>硫酸亚铁</t>
  </si>
  <si>
    <t>140202418112</t>
  </si>
  <si>
    <t>膨润土</t>
  </si>
  <si>
    <t>140302010104</t>
  </si>
  <si>
    <t>40％丁硫克百威水乳剂</t>
  </si>
  <si>
    <t>40%丁硫克百威（半成品调入）</t>
  </si>
  <si>
    <t>140302010105</t>
  </si>
  <si>
    <t>6．5％戊．氯．吡虫啉悬浮种衣剂</t>
  </si>
  <si>
    <t>6.5%戊·氯·吡虫啉（半成品调入）</t>
  </si>
  <si>
    <t>140302010108</t>
  </si>
  <si>
    <t>2．5％咪鲜．吡虫啉悬浮种衣剂</t>
  </si>
  <si>
    <t>2.5%咪鲜·吡虫啉（彩衣）（半成品调入）</t>
  </si>
  <si>
    <t>140302010110</t>
  </si>
  <si>
    <t>11％精甲．咯．嘧菌悬浮种衣剂</t>
  </si>
  <si>
    <t>11g/L精甲咯嘧（半成品调入）</t>
  </si>
  <si>
    <t>140302010113</t>
  </si>
  <si>
    <t>6％咯菌腈-精甲霜-噻呋悬浮剂</t>
  </si>
  <si>
    <t>6%噻呋精咯（半成品调入）</t>
  </si>
  <si>
    <t>140302010114</t>
  </si>
  <si>
    <t>50％氯虫苯甲酰胺悬浮剂</t>
  </si>
  <si>
    <t>50％氯虫苯甲酰胺悬浮剂（半成品调入）</t>
  </si>
  <si>
    <t>140302010117</t>
  </si>
  <si>
    <t>17％多．福悬浮种衣剂</t>
  </si>
  <si>
    <t>17%多·福（半成品调入）</t>
  </si>
  <si>
    <t>140302010138</t>
  </si>
  <si>
    <t>38％多．福．毒死蜱悬浮种衣剂</t>
  </si>
  <si>
    <t>38%多·毒·福（半成品调入）</t>
  </si>
  <si>
    <t>140302010140</t>
  </si>
  <si>
    <t>40％噻虫嗪悬浮种衣剂</t>
  </si>
  <si>
    <t>40%噻虫嗪（半成品调入）</t>
  </si>
  <si>
    <t>140302010141</t>
  </si>
  <si>
    <t>40％丙硫菌唑．戊唑醇种子处理悬浮剂</t>
  </si>
  <si>
    <t>40%丙硫菌唑戊唑醇（半成品调入）</t>
  </si>
  <si>
    <t>140302010148</t>
  </si>
  <si>
    <t>48％噻虫胺悬浮种衣剂</t>
  </si>
  <si>
    <t>48%噻虫胺（半成品调入）</t>
  </si>
  <si>
    <t>140302010160</t>
  </si>
  <si>
    <t>25g/L咯菌腈悬浮种衣剂</t>
  </si>
  <si>
    <t>25g/L咯菌晴（半成品调入）</t>
  </si>
  <si>
    <t>140302010165</t>
  </si>
  <si>
    <t>35g/L精甲．咯菌啨悬浮种衣剂</t>
  </si>
  <si>
    <t>35g/l精甲·咯菌晴（半成品调入）</t>
  </si>
  <si>
    <t>140302010185</t>
  </si>
  <si>
    <t>22．5％精甲霜噻虫胺噻呋</t>
  </si>
  <si>
    <t>22.5%睛甲咯噻（半成品调入）</t>
  </si>
  <si>
    <t>140302010195</t>
  </si>
  <si>
    <t>吡唑酯．精甲霜．甲维2．9％</t>
  </si>
  <si>
    <t>2.9%吡甲精(蓝)（半成品调入）</t>
  </si>
  <si>
    <t>140302110107</t>
  </si>
  <si>
    <t>70％吡虫啉可湿性粉剂</t>
  </si>
  <si>
    <t>70%吡虫啉（半成品调入）</t>
  </si>
  <si>
    <t>140302110180</t>
  </si>
  <si>
    <t>70％噻虫嗪种子处理可分散粉剂</t>
  </si>
  <si>
    <t>70%噻虫嗪（半成品调入）</t>
  </si>
  <si>
    <t>140302310110</t>
  </si>
  <si>
    <t>含氨基酸水溶性肥料（10％水剂）</t>
  </si>
  <si>
    <t>10%氨基酸（半成品调入）</t>
  </si>
  <si>
    <t>140402010106020</t>
  </si>
  <si>
    <t>6％戊唑醇悬浮种衣剂（10Kg/桶）</t>
  </si>
  <si>
    <t>6%戊唑醇-10kg（返工旧药调入）</t>
  </si>
  <si>
    <t>140402010110020</t>
  </si>
  <si>
    <t>11％精甲．咯．嘧菌悬浮种衣剂（10Kg/桶）</t>
  </si>
  <si>
    <t>11g/L精甲咯嘧-10kg（返工旧药调入）</t>
  </si>
  <si>
    <t>140402010110520</t>
  </si>
  <si>
    <t>11％精甲．咯．嘧菌悬浮种衣剂（100g/瓶）</t>
  </si>
  <si>
    <t>11g/L精甲咯嘧-100g（返工旧药调入）</t>
  </si>
  <si>
    <t>140402010148040</t>
  </si>
  <si>
    <t>48％噻虫胺悬浮剂（20kg／桶）</t>
  </si>
  <si>
    <t>48%噻虫胺-20kg（返工旧药调入）</t>
  </si>
  <si>
    <t>140402010165020</t>
  </si>
  <si>
    <t>35g/L精甲．咯菌啨悬浮种衣剂（10Kg/桶）</t>
  </si>
  <si>
    <t>35g/l精甲·咯菌晴-10kg（返工旧药调入）</t>
  </si>
  <si>
    <t>140402010195040</t>
  </si>
  <si>
    <t>吡唑酯．精甲霜．甲维2．9％（20Kg/桶）</t>
  </si>
  <si>
    <t>2.9%吡甲精(蓝)（返工旧药调入）</t>
  </si>
  <si>
    <t>140402110106040</t>
  </si>
  <si>
    <t>6％戊唑．福美双干粉种衣剂（20Kg/桶）</t>
  </si>
  <si>
    <t>6%戊唑·福美双-5kg（返工旧药调入）</t>
  </si>
  <si>
    <t>140402514101600</t>
  </si>
  <si>
    <t>北农多收吡唑醚菌酯﹢氨基酸肥﹢胺鲜乙烯利</t>
  </si>
  <si>
    <t>10%氨基酸（北农多收）-150g（返工旧药调入）</t>
  </si>
  <si>
    <t>本期贷方发生数量</t>
  </si>
  <si>
    <t>140202510101010</t>
  </si>
  <si>
    <t>塑料桶（5L）</t>
  </si>
  <si>
    <t>140202510101020</t>
  </si>
  <si>
    <t>塑料桶（10L）</t>
  </si>
  <si>
    <t>140202510101030</t>
  </si>
  <si>
    <t>塑料桶（15L）</t>
  </si>
  <si>
    <t>140202510101040</t>
  </si>
  <si>
    <t>塑料桶（20Kg）</t>
  </si>
  <si>
    <t>140202510101070</t>
  </si>
  <si>
    <t>塑料桶（22L）</t>
  </si>
  <si>
    <t>140202510181040</t>
  </si>
  <si>
    <t>纸桶（20Kg）</t>
  </si>
  <si>
    <t>140202512199062</t>
  </si>
  <si>
    <t>63 ％吡萎福绿亨白皮100g×20瓶</t>
  </si>
  <si>
    <t>140202512199380</t>
  </si>
  <si>
    <t>白皮纸箱4kg×4桶（385×280×300）</t>
  </si>
  <si>
    <t>140202512199901</t>
  </si>
  <si>
    <t>纸箱（PE100ml×80瓶，425×270×225mm）</t>
  </si>
  <si>
    <t>140202512199903</t>
  </si>
  <si>
    <t>纸箱（PET500ml×40瓶，605×380×200mm）</t>
  </si>
  <si>
    <t>140202512199918</t>
  </si>
  <si>
    <t>白内盒10g×40袋／盒（160×110×90）通用</t>
  </si>
  <si>
    <t>140202512199920</t>
  </si>
  <si>
    <t>纸箱（PE250ml×40瓶，345×275×275）</t>
  </si>
  <si>
    <t>140202512199922</t>
  </si>
  <si>
    <t>纸箱（PE500ml×20瓶，345×275×230）</t>
  </si>
  <si>
    <t>140202512199933</t>
  </si>
  <si>
    <t>纸箱35％丁硫种子处理干粉剂5g／包×600袋</t>
  </si>
  <si>
    <t>140202512199934</t>
  </si>
  <si>
    <t>纸箱35％丁硫种子处理干粉剂10g／包×400袋</t>
  </si>
  <si>
    <t>140202512199935</t>
  </si>
  <si>
    <t>35％丁硫克百威纸箱100g×80/箱</t>
  </si>
  <si>
    <t>140202512199936</t>
  </si>
  <si>
    <t>通用纸箱PE100ml×80瓶414×267×232（新）</t>
  </si>
  <si>
    <t>140202512199937</t>
  </si>
  <si>
    <t>通用纸箱PE500ml×20瓶（新）</t>
  </si>
  <si>
    <t>140202512199938</t>
  </si>
  <si>
    <t>通用纸箱PE50ml×160瓶（420×338×165）</t>
  </si>
  <si>
    <t>140202512199939</t>
  </si>
  <si>
    <t>纸箱PE200ml×40瓶305×245×280（沧州）</t>
  </si>
  <si>
    <t>140202512199941</t>
  </si>
  <si>
    <t>通用纸箱PE100ml×80瓶（新绿普瑞）</t>
  </si>
  <si>
    <t>140202512199942</t>
  </si>
  <si>
    <t>通用纸箱PE200ml×40瓶（绿普瑞）</t>
  </si>
  <si>
    <t>140202512199945</t>
  </si>
  <si>
    <t>通用纸箱PE1000ml×12瓶（375×282×245）</t>
  </si>
  <si>
    <t>140202512199946</t>
  </si>
  <si>
    <t>通用纸箱10g×40袋×8盒／箱335×235×195</t>
  </si>
  <si>
    <t>140202512199948</t>
  </si>
  <si>
    <t>通用纸箱PE400ml×20瓶351×286×201（新）</t>
  </si>
  <si>
    <t>140202512199949</t>
  </si>
  <si>
    <t>通用纸箱PE250ml×40瓶325×262×317（新）</t>
  </si>
  <si>
    <t>140202512199990</t>
  </si>
  <si>
    <t>彩皮纸箱40％丁硫克百威500g×20瓶神农喜</t>
  </si>
  <si>
    <t>140202514151509</t>
  </si>
  <si>
    <t>聚酯瓶盖（45mm）</t>
  </si>
  <si>
    <t>140202514199321</t>
  </si>
  <si>
    <t>聚酯瓶（1000ml）（沧州）</t>
  </si>
  <si>
    <t>140202514199511</t>
  </si>
  <si>
    <t>聚酯瓶50ml（75×40）</t>
  </si>
  <si>
    <t>140202514199520</t>
  </si>
  <si>
    <t>聚酯瓶（100g）</t>
  </si>
  <si>
    <t>140202514199541</t>
  </si>
  <si>
    <t>聚酯瓶（200ml）（沧州）</t>
  </si>
  <si>
    <t>140202514199550</t>
  </si>
  <si>
    <t>聚酯瓶（250g）</t>
  </si>
  <si>
    <t>140202514199590</t>
  </si>
  <si>
    <t>聚酯瓶（400g）</t>
  </si>
  <si>
    <t>140202514199600</t>
  </si>
  <si>
    <t>聚酯瓶（500g）</t>
  </si>
  <si>
    <t>140202516101</t>
  </si>
  <si>
    <t>小塑料袋</t>
  </si>
  <si>
    <t>140202516102</t>
  </si>
  <si>
    <t>大塑料袋</t>
  </si>
  <si>
    <t>140202516113001</t>
  </si>
  <si>
    <t>铝箔袋70％吡虫啉可湿性粉剂100g×80袋北农</t>
  </si>
  <si>
    <t>140202516113520</t>
  </si>
  <si>
    <t>铝箔袋35％丁硫克百威干粉剂100g（205×155</t>
  </si>
  <si>
    <t>140202518199</t>
  </si>
  <si>
    <t>珠光包装膜</t>
  </si>
  <si>
    <t>140202519101</t>
  </si>
  <si>
    <t>胶带</t>
  </si>
  <si>
    <t>140202710190001</t>
  </si>
  <si>
    <t>标签打印纸（70×40）</t>
  </si>
  <si>
    <t>140202710194</t>
  </si>
  <si>
    <t>合格证</t>
  </si>
  <si>
    <t>140202710197009</t>
  </si>
  <si>
    <t>自动贴6％戊唑福美双麦麦提5Kg（200×100）</t>
  </si>
  <si>
    <t>140202710197015</t>
  </si>
  <si>
    <t>自动贴25g／L咯菌腈10kg（155×150）</t>
  </si>
  <si>
    <t>140202710197030</t>
  </si>
  <si>
    <t>自动贴6 ％戊唑醇红衣俏 10kg（155×150）</t>
  </si>
  <si>
    <t>140202710197031</t>
  </si>
  <si>
    <t>自动贴40 ％噻虫嗪玉翼 20kg（190×130）</t>
  </si>
  <si>
    <t>140202710197035</t>
  </si>
  <si>
    <t>自动贴6 ％戊唑醇红衣俏17．5kg（190×130</t>
  </si>
  <si>
    <t>140202710197041</t>
  </si>
  <si>
    <t>自动贴25 ％多福毒死蜱稼中200g（200×53）</t>
  </si>
  <si>
    <t>140202710197046</t>
  </si>
  <si>
    <t>自动贴35g/L精甲咯菌腈 10kg（155×150）</t>
  </si>
  <si>
    <t>140202710197048</t>
  </si>
  <si>
    <t>自动贴17 ％多福乐米金 400g（200×100）</t>
  </si>
  <si>
    <t>140202710197049</t>
  </si>
  <si>
    <t>自动贴70 ％噻虫嗪玉翼 40g（225×80）</t>
  </si>
  <si>
    <t>140202710197078</t>
  </si>
  <si>
    <t>自动贴2．5 ％咪鲜吡虫啉稻衣100g×80瓶</t>
  </si>
  <si>
    <t>140202710197080</t>
  </si>
  <si>
    <t>自动贴2．5 ％咪鲜吡虫啉稻衣500g（217×94</t>
  </si>
  <si>
    <t>140202710197081</t>
  </si>
  <si>
    <t>自动贴2．5％咪鲜吡虫啉100g×40瓶北农稻衣</t>
  </si>
  <si>
    <t>140202710197101</t>
  </si>
  <si>
    <t>自动贴17 ％多福 20kg（190×130水稻）</t>
  </si>
  <si>
    <t>140202710197103</t>
  </si>
  <si>
    <t>自动贴17 ％多福乐米金 500g</t>
  </si>
  <si>
    <t>140202710197323</t>
  </si>
  <si>
    <t>自动贴40 ％噻虫嗪玉翼100g（155×46）</t>
  </si>
  <si>
    <t>140202710197521</t>
  </si>
  <si>
    <t>自动贴35g／L精甲-咯菌晴12．5kg（185×125</t>
  </si>
  <si>
    <t>140202710197532</t>
  </si>
  <si>
    <t>自动贴11％精甲咯嘧菌1000g×12瓶水稻</t>
  </si>
  <si>
    <t>140202710197533</t>
  </si>
  <si>
    <t>自动贴11％精甲咯嘧菌200g×40瓶水稻</t>
  </si>
  <si>
    <t>140202710197537</t>
  </si>
  <si>
    <t>自动贴11％精甲咯嘧菌30g×80瓶北农</t>
  </si>
  <si>
    <t>140202710197549</t>
  </si>
  <si>
    <t>自动贴11％精甲咯嘧菌100g（155×42）</t>
  </si>
  <si>
    <t>140202710197551</t>
  </si>
  <si>
    <t>自动贴新11％精甲咯嘧菌北农绿普瑞 30g</t>
  </si>
  <si>
    <t>140202710197558</t>
  </si>
  <si>
    <t>自动贴11％精甲咯嘧菌500g（200×126）</t>
  </si>
  <si>
    <t>140202710197566</t>
  </si>
  <si>
    <t>自动贴新11％精甲咯嘧菌大豆花生100g×80瓶</t>
  </si>
  <si>
    <t>140202710197567</t>
  </si>
  <si>
    <t>自动贴新11％精甲咯嘧菌大豆花生250g×40瓶</t>
  </si>
  <si>
    <t>140202710197574</t>
  </si>
  <si>
    <t>自动贴10％含氨基酸水溶性肥料5kg×4桶</t>
  </si>
  <si>
    <t>140202710197577</t>
  </si>
  <si>
    <t>自动贴40％丁硫克百威100g×80瓶北农神农喜</t>
  </si>
  <si>
    <t>140202710197579</t>
  </si>
  <si>
    <t>自动贴40％丁硫克百威1000g12瓶北农神农喜</t>
  </si>
  <si>
    <t>140202710197582</t>
  </si>
  <si>
    <t>自动贴40％丁硫克百威500g×20瓶（神农喜）</t>
  </si>
  <si>
    <t>140202710197585</t>
  </si>
  <si>
    <t>自动贴新48％噻虫胺（赛安丰）16kg</t>
  </si>
  <si>
    <t>140202710197590</t>
  </si>
  <si>
    <t>自动贴新48％噻虫胺（赛安丰）20kg</t>
  </si>
  <si>
    <t>140202710197591</t>
  </si>
  <si>
    <t>自动贴新48％噻虫胺 50g</t>
  </si>
  <si>
    <t>140202710197600</t>
  </si>
  <si>
    <t>自动贴新2．9％吡唑酯精甲霜甲维豆添乐500g</t>
  </si>
  <si>
    <t>140202710197608</t>
  </si>
  <si>
    <t>自动贴新2．9％吡精甲维4kg／桶（豆添乐）</t>
  </si>
  <si>
    <t>140202710197609</t>
  </si>
  <si>
    <t>自动贴新2．9％吡精甲维300g×20瓶豆添乐</t>
  </si>
  <si>
    <t>140202710197656</t>
  </si>
  <si>
    <t>自动贴新48％噻虫胺100g×80瓶北农、赛安丰</t>
  </si>
  <si>
    <t>140202710197675</t>
  </si>
  <si>
    <t>自动贴新6％咯菌腈精甲霜噻呋380g×20苗卫</t>
  </si>
  <si>
    <t>140202710197676</t>
  </si>
  <si>
    <t>自动贴新6％咯菌腈精甲霜噻呋10kg苗卫衣</t>
  </si>
  <si>
    <t>140202710197679</t>
  </si>
  <si>
    <t>自动贴新6％咯菌腈精甲霜噻呋5kg×4苗卫衣</t>
  </si>
  <si>
    <t>140202710197687</t>
  </si>
  <si>
    <t>自动贴新50％硫双威30g×160瓶（保粒盾）</t>
  </si>
  <si>
    <t>140202710197715</t>
  </si>
  <si>
    <t>自动贴新22．5％精甲霜噻虫胺噻呋120×40瓶</t>
  </si>
  <si>
    <t>140202710197720</t>
  </si>
  <si>
    <t>自动贴新50％氯虫苯甲酰胺50g×80瓶</t>
  </si>
  <si>
    <t>140202710197721</t>
  </si>
  <si>
    <t>自动贴新50％氯虫苯甲酰胺500g×20瓶</t>
  </si>
  <si>
    <t>140202710197750</t>
  </si>
  <si>
    <t>自动贴25％多福毒死蜱25g×160瓶北农农伴师</t>
  </si>
  <si>
    <t>140202710197765</t>
  </si>
  <si>
    <t>自动贴新给丽膜30g×160瓶S红硫双威专用</t>
  </si>
  <si>
    <t>140202710197770</t>
  </si>
  <si>
    <t>自动新14％丙硫吡唑酯噻虫胺500g20瓶优乐瑞</t>
  </si>
  <si>
    <t>140202710197771</t>
  </si>
  <si>
    <t>自动贴新14％丙硫吡唑酯噻虫胺20kg桶优乐瑞</t>
  </si>
  <si>
    <t>140202710197772</t>
  </si>
  <si>
    <t>自动贴新14％丙硫吡唑酯噻虫胺5kg4桶优乐瑞</t>
  </si>
  <si>
    <t>140202710197780</t>
  </si>
  <si>
    <t>自动贴11％精甲咯嘧菌300g×20瓶（水稻）</t>
  </si>
  <si>
    <t>140202710197785</t>
  </si>
  <si>
    <t>自动贴新11％精甲咯嘧菌大豆花生300g×20瓶</t>
  </si>
  <si>
    <t>140202710197790</t>
  </si>
  <si>
    <t>自动贴新微量元素水溶肥1000g×12瓶</t>
  </si>
  <si>
    <t>140202710198004</t>
  </si>
  <si>
    <t>手贴6％戊唑福美双麦麦提20Kg（190×130）</t>
  </si>
  <si>
    <t>140202710198015</t>
  </si>
  <si>
    <t>手贴17 ％多福乐米金（箱贴）400g</t>
  </si>
  <si>
    <t>140202710198020</t>
  </si>
  <si>
    <t>手贴红色（桶贴）</t>
  </si>
  <si>
    <t>140202710198021</t>
  </si>
  <si>
    <t>手贴蓝色（桶贴）</t>
  </si>
  <si>
    <t>140202710198030</t>
  </si>
  <si>
    <t>手贴70 ％噻虫嗪（箱贴）40g（200×130）</t>
  </si>
  <si>
    <t>140202710198036</t>
  </si>
  <si>
    <t>手贴70％吡虫啉100g×80袋北农箱贴</t>
  </si>
  <si>
    <t>140202710198069</t>
  </si>
  <si>
    <t>手贴17 ％多福（箱贴）乐米金 500g</t>
  </si>
  <si>
    <t>140202710198093</t>
  </si>
  <si>
    <t>手贴2．5％咪鲜吡虫啉稻衣（箱贴）100g</t>
  </si>
  <si>
    <t>140202710198095</t>
  </si>
  <si>
    <t>手贴2．5％咪鲜吡虫啉稻衣（箱贴）500g</t>
  </si>
  <si>
    <t>140202710198121</t>
  </si>
  <si>
    <t>手贴40 ％噻虫嗪玉翼（箱贴）100g</t>
  </si>
  <si>
    <t>140202710198124</t>
  </si>
  <si>
    <t>手贴10％含氨基酸水溶性肥200g×40北农箱贴</t>
  </si>
  <si>
    <t>140202710198128</t>
  </si>
  <si>
    <t>手贴10％含氨基酸水溶性肥5kg×4桶（箱贴）</t>
  </si>
  <si>
    <t>140202710198135</t>
  </si>
  <si>
    <t>手贴2．9 吡唑酯精甲霜甲维豆添乐箱贴500g</t>
  </si>
  <si>
    <t>140202710198146</t>
  </si>
  <si>
    <t>手贴48％噻虫胺50g×80瓶北农赛安丰箱贴</t>
  </si>
  <si>
    <t>140202710198147</t>
  </si>
  <si>
    <t>手贴48％噻虫胺10g×50袋×8盒（赛安丰）</t>
  </si>
  <si>
    <t>140202710198159</t>
  </si>
  <si>
    <t>手贴48％噻虫胺100g×80瓶北农、赛安丰箱贴</t>
  </si>
  <si>
    <t>140202710198169</t>
  </si>
  <si>
    <t>手贴2．9 ％吡精甲维300g×20瓶豆添乐箱贴</t>
  </si>
  <si>
    <t>140202710198173</t>
  </si>
  <si>
    <t>手贴2．9 ％吡精甲维4kg×4桶豆添乐箱贴</t>
  </si>
  <si>
    <t>140202710198177</t>
  </si>
  <si>
    <t>手贴11％精甲咯嘧菌30g×80瓶北农箱贴</t>
  </si>
  <si>
    <t>140202710198178</t>
  </si>
  <si>
    <t>手贴11％精甲咯嘧菌200g×40瓶北农箱贴</t>
  </si>
  <si>
    <t>140202710198187</t>
  </si>
  <si>
    <t>手贴11％精甲咯嘧菌300g×20瓶200×130箱贴</t>
  </si>
  <si>
    <t>140202710198191</t>
  </si>
  <si>
    <t>手贴11％精甲咯嘧菌100g（200×130）箱贴</t>
  </si>
  <si>
    <t>140202710198194</t>
  </si>
  <si>
    <t>手贴11％精甲咯嘧菌30g／100g绿普瑞箱贴</t>
  </si>
  <si>
    <t>140202710198196</t>
  </si>
  <si>
    <t>手贴11％精甲咯嘧菌500g（200×130）（箱贴</t>
  </si>
  <si>
    <t>140202710198232</t>
  </si>
  <si>
    <t>手贴新金黄色80×40（桶贴）</t>
  </si>
  <si>
    <t>140202710198273</t>
  </si>
  <si>
    <t>手贴新6％咯菌腈精甲霜噻呋380g苗卫衣箱贴</t>
  </si>
  <si>
    <t>140202710198281</t>
  </si>
  <si>
    <t>手贴新6％咯菌腈-精甲霜-噻呋5kg×4苗卫衣</t>
  </si>
  <si>
    <t>140202710198287</t>
  </si>
  <si>
    <t>手贴新50％硫双威30g×160瓶（保粒盾）箱贴</t>
  </si>
  <si>
    <t>140202710198304</t>
  </si>
  <si>
    <t>手新22．5精甲噻虫胺噻呋100g／120g伴博士</t>
  </si>
  <si>
    <t>140202710198311</t>
  </si>
  <si>
    <t>手贴新50％氯虫苯甲酰胺（箱贴）50g×80瓶</t>
  </si>
  <si>
    <t>140202710198312</t>
  </si>
  <si>
    <t>手贴新50％氯虫苯甲酰胺（箱贴）500g×20瓶</t>
  </si>
  <si>
    <t>140202710198340</t>
  </si>
  <si>
    <t>手贴40％丁硫克百威1000g×12瓶神农喜箱贴</t>
  </si>
  <si>
    <t>140202710198341</t>
  </si>
  <si>
    <t>手贴40％丁硫克百威500g×20瓶神农喜箱贴</t>
  </si>
  <si>
    <t>140202710198342</t>
  </si>
  <si>
    <t>手贴40％丁硫克百威100g×80瓶神农喜箱贴</t>
  </si>
  <si>
    <t>140202710198355</t>
  </si>
  <si>
    <t>手贴新14％丙硫吡唑酯噻虫胺500g20瓶优乐瑞</t>
  </si>
  <si>
    <t>140202710198356</t>
  </si>
  <si>
    <t>手贴新14％丙硫吡唑酯噻虫胺5kg×4桶优乐瑞</t>
  </si>
  <si>
    <t>140202710198360</t>
  </si>
  <si>
    <t>手贴给丽膜30g×160瓶S红硫双威专用</t>
  </si>
  <si>
    <t>140202710198361</t>
  </si>
  <si>
    <t>手贴给丽膜8g×40袋×8盒S红硫双威专用</t>
  </si>
  <si>
    <t>140202710198370</t>
  </si>
  <si>
    <t>手贴11％精甲咯嘧菌250g×40瓶箱贴</t>
  </si>
  <si>
    <t>140202710198371</t>
  </si>
  <si>
    <t>手贴11％精甲咯嘧菌1000g×12瓶水稻箱贴</t>
  </si>
  <si>
    <t>140202710198400</t>
  </si>
  <si>
    <t>手贴新微量元素水溶肥1000g×12瓶</t>
  </si>
  <si>
    <t>140202710199042</t>
  </si>
  <si>
    <t>产品说明书48％噻虫胺种子处理悬浮剂</t>
  </si>
  <si>
    <t>产品名称</t>
  </si>
  <si>
    <t>规格</t>
  </si>
  <si>
    <t>财务账产量</t>
  </si>
  <si>
    <t>320</t>
  </si>
  <si>
    <t>140402010104320</t>
  </si>
  <si>
    <t>40％丁硫克百威水乳剂（ 1Kg/瓶）</t>
  </si>
  <si>
    <t>1Kg/瓶</t>
  </si>
  <si>
    <t>520</t>
  </si>
  <si>
    <t>140402010104520</t>
  </si>
  <si>
    <t>40％丁硫克百威水乳剂（100g/瓶）</t>
  </si>
  <si>
    <t>0.1kg/瓶</t>
  </si>
  <si>
    <t>600</t>
  </si>
  <si>
    <t>140402010104600</t>
  </si>
  <si>
    <t>40％丁硫克百威水乳剂（500g/瓶）</t>
  </si>
  <si>
    <t>0.5kg/瓶</t>
  </si>
  <si>
    <t>820</t>
  </si>
  <si>
    <t>140402010104820</t>
  </si>
  <si>
    <t>40％丁硫克百威水乳剂（ 10g/袋）</t>
  </si>
  <si>
    <t>0.01kg/袋</t>
  </si>
  <si>
    <t>040</t>
  </si>
  <si>
    <t>140402010105040</t>
  </si>
  <si>
    <t>6．5％戊．氯．吡虫啉悬浮剂（20Kg/桶）</t>
  </si>
  <si>
    <t>20Kg/桶</t>
  </si>
  <si>
    <t>020</t>
  </si>
  <si>
    <t>10Kg/桶</t>
  </si>
  <si>
    <t>035</t>
  </si>
  <si>
    <t>140402010106035</t>
  </si>
  <si>
    <t>6％戊唑醇悬浮种衣剂（17．5Kg/桶）</t>
  </si>
  <si>
    <t>17．5Kg/桶</t>
  </si>
  <si>
    <t>140402010108520</t>
  </si>
  <si>
    <t>2．5％咪鲜．吡虫啉悬浮种衣剂（100g/瓶）</t>
  </si>
  <si>
    <t>140402010108600</t>
  </si>
  <si>
    <t>2．5％咪鲜．吡虫啉悬浮种衣剂（500g/瓶）</t>
  </si>
  <si>
    <t>140402010110320</t>
  </si>
  <si>
    <t>11％精甲．咯．嘧菌（1000g×12瓶）</t>
  </si>
  <si>
    <t>11g/L精甲咯嘧（绿普瑞）</t>
  </si>
  <si>
    <t>1kg×12瓶</t>
  </si>
  <si>
    <t>506</t>
  </si>
  <si>
    <t>140402010110506</t>
  </si>
  <si>
    <t>11％精甲．咯．嘧菌悬浮种衣剂（30g/瓶）</t>
  </si>
  <si>
    <t>0.03kg/瓶</t>
  </si>
  <si>
    <t>11g/L精甲咯嘧（花生大豆）</t>
  </si>
  <si>
    <t>540</t>
  </si>
  <si>
    <t>140402010110540</t>
  </si>
  <si>
    <t>11％精甲．咯．嘧菌悬浮种衣剂（200g/瓶）</t>
  </si>
  <si>
    <t>11g/L精甲咯嘧（蓝水稻）</t>
  </si>
  <si>
    <t>0.2kg/瓶</t>
  </si>
  <si>
    <t>550</t>
  </si>
  <si>
    <t>140402010110550</t>
  </si>
  <si>
    <t>11％精甲．咯．嘧菌悬浮种衣剂（250g×40瓶</t>
  </si>
  <si>
    <t>11g/L精甲咯嘧（蓝大豆）</t>
  </si>
  <si>
    <t>0.25kg×40瓶</t>
  </si>
  <si>
    <t>560</t>
  </si>
  <si>
    <t>140402010110560</t>
  </si>
  <si>
    <t>11％精甲．咯．嘧菌悬浮种衣剂（300g/瓶）</t>
  </si>
  <si>
    <t>11g/L精甲咯嘧（红水稻）</t>
  </si>
  <si>
    <t>0.3kg/瓶</t>
  </si>
  <si>
    <t>140402010113020</t>
  </si>
  <si>
    <t>6％咯菌腈-精甲霜-噻呋悬浮剂（10kg/桶）</t>
  </si>
  <si>
    <t>10kg/桶</t>
  </si>
  <si>
    <t>500</t>
  </si>
  <si>
    <t>140402010113500</t>
  </si>
  <si>
    <t>6％咯菌腈-精甲霜-噻呋悬浮剂（5kg×4桶）</t>
  </si>
  <si>
    <t>5kg×4桶</t>
  </si>
  <si>
    <t>576</t>
  </si>
  <si>
    <t>140402010113576</t>
  </si>
  <si>
    <t>6％咯菌腈-精甲霜-噻呋悬浮剂（380g×20瓶</t>
  </si>
  <si>
    <t>0.38kg×20瓶</t>
  </si>
  <si>
    <t>140402010114510</t>
  </si>
  <si>
    <t>50％氯虫苯甲酰胺悬浮剂（50g／瓶）</t>
  </si>
  <si>
    <t>0.05kg／瓶</t>
  </si>
  <si>
    <t>140402010114600</t>
  </si>
  <si>
    <t>50％氯虫苯甲酰胺悬浮剂（500g／瓶）</t>
  </si>
  <si>
    <t>0.5kg／瓶</t>
  </si>
  <si>
    <t>140402010117040</t>
  </si>
  <si>
    <t>17％多．福悬浮种衣剂（20Kg/桶）</t>
  </si>
  <si>
    <t>580</t>
  </si>
  <si>
    <t>140402010117580</t>
  </si>
  <si>
    <t>17％多．福悬浮种衣剂（400g/瓶）</t>
  </si>
  <si>
    <t>0.4kg/瓶</t>
  </si>
  <si>
    <t>140402010117600</t>
  </si>
  <si>
    <t>17％多．福悬浮种衣剂（500g/瓶）</t>
  </si>
  <si>
    <t>505</t>
  </si>
  <si>
    <t>140402010125505</t>
  </si>
  <si>
    <t>25％多．福．毒死蜱悬浮种衣剂（25g/瓶）</t>
  </si>
  <si>
    <t>0.025kg/瓶</t>
  </si>
  <si>
    <t>140402010125540</t>
  </si>
  <si>
    <t>25％多．福．毒死蜱悬浮种衣剂（200g/瓶）</t>
  </si>
  <si>
    <t>140402010128040</t>
  </si>
  <si>
    <t>丙硫-吡唑酯-噻虫胺悬浮14％（20kg／桶）</t>
  </si>
  <si>
    <t>20kg／桶</t>
  </si>
  <si>
    <t>400</t>
  </si>
  <si>
    <t>140402010128400</t>
  </si>
  <si>
    <t>丙硫-吡唑酯-噻虫胺悬浮14％（5kg×4桶）</t>
  </si>
  <si>
    <t>140402010128600</t>
  </si>
  <si>
    <t>丙硫-吡唑酯-噻虫胺悬浮14％（500g×20瓶）</t>
  </si>
  <si>
    <t>0.5kg×20瓶</t>
  </si>
  <si>
    <t>140402010138040</t>
  </si>
  <si>
    <t>38％多．福．毒死蜱悬浮种衣剂（20Kg/桶）</t>
  </si>
  <si>
    <t>140402010140040</t>
  </si>
  <si>
    <t>40％噻虫嗪悬浮种衣剂（20Kg/桶）</t>
  </si>
  <si>
    <t>140402010140520</t>
  </si>
  <si>
    <t>40％噻虫嗪悬浮种衣剂（100g/瓶）</t>
  </si>
  <si>
    <t>140402010141400</t>
  </si>
  <si>
    <t>40％丙硫菌唑．戊唑醇（5kg×4桶）</t>
  </si>
  <si>
    <t>032</t>
  </si>
  <si>
    <t>140402010148032</t>
  </si>
  <si>
    <t>48％噻虫胺悬浮剂（16kg／桶）</t>
  </si>
  <si>
    <t>16kg／桶</t>
  </si>
  <si>
    <t>510</t>
  </si>
  <si>
    <t>140402010148510</t>
  </si>
  <si>
    <t>48％噻虫胺悬浮剂（50g/瓶）</t>
  </si>
  <si>
    <t>48%噻虫胺（蓝）</t>
  </si>
  <si>
    <t>0.05kg/瓶</t>
  </si>
  <si>
    <t>140402010148520</t>
  </si>
  <si>
    <t>48％噻虫胺悬浮剂（100g×80瓶/箱）</t>
  </si>
  <si>
    <t>48%噻虫胺（红）</t>
  </si>
  <si>
    <t>0.1kg×80瓶/箱</t>
  </si>
  <si>
    <t>140402010148820</t>
  </si>
  <si>
    <t>48％噻虫胺悬浮剂（10g／袋）</t>
  </si>
  <si>
    <t>0.01kg／袋</t>
  </si>
  <si>
    <t>140402010150506</t>
  </si>
  <si>
    <t>50％硫双威种子处理乳剂（30g×160瓶）</t>
  </si>
  <si>
    <t>0.03kg×160瓶</t>
  </si>
  <si>
    <t>140402010160020</t>
  </si>
  <si>
    <t>25g/L咯菌腈悬浮种衣剂（10Kg/桶）</t>
  </si>
  <si>
    <t>025</t>
  </si>
  <si>
    <t>140402010165025</t>
  </si>
  <si>
    <t>35g/L精甲．咯菌啨悬浮种衣（12．5Kg/桶）</t>
  </si>
  <si>
    <t>12．5Kg/桶</t>
  </si>
  <si>
    <t>140402010185040</t>
  </si>
  <si>
    <t>精甲霜噻虫胺噻呋22．5％（20kg／桶）</t>
  </si>
  <si>
    <t>524</t>
  </si>
  <si>
    <t>140402010185524</t>
  </si>
  <si>
    <t>精甲霜噻虫胺噻呋22．5％（120g×40瓶）</t>
  </si>
  <si>
    <t>0.12kg×40瓶</t>
  </si>
  <si>
    <t>380</t>
  </si>
  <si>
    <t>140402010195380</t>
  </si>
  <si>
    <t>吡唑酯．精甲霜．甲维2．9％（4Kg/桶）</t>
  </si>
  <si>
    <t>2.9%吡甲精</t>
  </si>
  <si>
    <t>4Kg/桶</t>
  </si>
  <si>
    <t>140402010195560</t>
  </si>
  <si>
    <t>吡唑酯．精甲霜．甲维2．9％（300g/瓶）</t>
  </si>
  <si>
    <t>140402010195600</t>
  </si>
  <si>
    <t>吡唑酯．精甲霜．甲维2．9％（500g/瓶）</t>
  </si>
  <si>
    <t>2.9%吡甲精（蓝）</t>
  </si>
  <si>
    <t>110106</t>
  </si>
  <si>
    <t>110107</t>
  </si>
  <si>
    <t>521</t>
  </si>
  <si>
    <t>140402110107521</t>
  </si>
  <si>
    <t>70％吡虫啉可湿性粉剂（100g/袋）</t>
  </si>
  <si>
    <t>0.1kg/袋</t>
  </si>
  <si>
    <t>110135</t>
  </si>
  <si>
    <t>140402110135520</t>
  </si>
  <si>
    <t>丁硫克百威种子干粉剂≥35 ％（100g／袋）</t>
  </si>
  <si>
    <t>0.1kg／袋</t>
  </si>
  <si>
    <t>750</t>
  </si>
  <si>
    <t>140402110135750</t>
  </si>
  <si>
    <t>丁硫克百威种子干粉剂≥35 ％（5g/包）</t>
  </si>
  <si>
    <t>0.005kg/包</t>
  </si>
  <si>
    <t>140402110135820</t>
  </si>
  <si>
    <t>丁硫克百威种子干粉剂≥35 ％（10g/包）</t>
  </si>
  <si>
    <t>0.01kg/包</t>
  </si>
  <si>
    <t>110180</t>
  </si>
  <si>
    <t>508</t>
  </si>
  <si>
    <t>140402110180508</t>
  </si>
  <si>
    <t>70％噻虫嗪种子处理可分散粉剂（40g/瓶）</t>
  </si>
  <si>
    <t>0.04kg/瓶</t>
  </si>
  <si>
    <t>310110</t>
  </si>
  <si>
    <t>140402310110400</t>
  </si>
  <si>
    <t>含氨基酸水溶性肥料（10％）（5Kg×4桶）</t>
  </si>
  <si>
    <t>5Kg×4桶</t>
  </si>
  <si>
    <t>140402310110540</t>
  </si>
  <si>
    <t>含氨基酸水溶性肥料（10％）（200g/瓶）</t>
  </si>
  <si>
    <t>310130</t>
  </si>
  <si>
    <t>140402310130320</t>
  </si>
  <si>
    <t>微量元素水溶肥（全作物）（1000g×12瓶）</t>
  </si>
  <si>
    <t>716101</t>
  </si>
  <si>
    <t>140402716101040</t>
  </si>
  <si>
    <t>给丽膜Ｓ（红）（20Kg/桶）</t>
  </si>
  <si>
    <t>140402716101506</t>
  </si>
  <si>
    <t>给丽膜Ｓ（红）30g×160瓶硫双威专用</t>
  </si>
  <si>
    <t>给力膜红</t>
  </si>
  <si>
    <t>红）0.03kg×160瓶硫双威专用</t>
  </si>
  <si>
    <t>780</t>
  </si>
  <si>
    <t>140402716101780</t>
  </si>
  <si>
    <t>给丽膜Ｓ（红）8g×40袋×8盒硫双威专用</t>
  </si>
  <si>
    <t>水稻水溶成膜剂</t>
  </si>
  <si>
    <t>红）0.008kg×40袋×8盒硫双威专用</t>
  </si>
  <si>
    <t>716103</t>
  </si>
  <si>
    <t>140402716103040</t>
  </si>
  <si>
    <t>给丽膜Ｓ（蓝）（20Kg/桶）</t>
  </si>
  <si>
    <t>717306</t>
  </si>
  <si>
    <t>140402717306040</t>
  </si>
  <si>
    <t>给丽膜Ｓ100（金黄）（20Kg/桶）</t>
  </si>
  <si>
    <t>2026年4月份产量明细</t>
  </si>
  <si>
    <t>悬浮剂产品名称</t>
  </si>
  <si>
    <t>规格（kg）</t>
  </si>
  <si>
    <t>数量（kg）</t>
  </si>
  <si>
    <t>6%戊唑醇-红</t>
  </si>
  <si>
    <r>
      <rPr>
        <sz val="11"/>
        <rFont val="宋体"/>
        <charset val="134"/>
      </rPr>
      <t>6%戊唑醇</t>
    </r>
    <r>
      <rPr>
        <sz val="11"/>
        <rFont val="宋体"/>
        <charset val="134"/>
      </rPr>
      <t xml:space="preserve"> -红</t>
    </r>
  </si>
  <si>
    <t>1000g*12</t>
  </si>
  <si>
    <t>10g/袋</t>
  </si>
  <si>
    <t>0.5kg</t>
  </si>
  <si>
    <t>20kh</t>
  </si>
  <si>
    <t>40%噻虫嗪（定制）</t>
  </si>
  <si>
    <t>0.03/瓶</t>
  </si>
  <si>
    <t>0.04/瓶</t>
  </si>
  <si>
    <t>0.008g/袋</t>
  </si>
  <si>
    <t>12.5kg</t>
  </si>
  <si>
    <t>0.03*160瓶</t>
  </si>
  <si>
    <t>20kg</t>
  </si>
  <si>
    <t>18%吡唑醚菌酯</t>
  </si>
  <si>
    <t>0.02/袋</t>
  </si>
  <si>
    <t>35%唑咪氟环唑</t>
  </si>
  <si>
    <t>0.2kg</t>
  </si>
  <si>
    <t>0.1kg</t>
  </si>
  <si>
    <t>50g</t>
  </si>
  <si>
    <t>30g*160瓶</t>
  </si>
  <si>
    <t>0.38*20瓶</t>
  </si>
  <si>
    <t>1000g</t>
  </si>
  <si>
    <t>50%氯虫苯甲酰胺</t>
  </si>
  <si>
    <t>500g/瓶</t>
  </si>
  <si>
    <t>50g/瓶</t>
  </si>
  <si>
    <t>实验</t>
  </si>
  <si>
    <t>7%睛甲吡唑酯种菌唑（实验）</t>
  </si>
  <si>
    <t>2%胺鲜酯·芸苔素</t>
  </si>
  <si>
    <t>5*4桶</t>
  </si>
  <si>
    <t>0.05/瓶</t>
  </si>
  <si>
    <t>8%噻呋酰胺</t>
  </si>
  <si>
    <t>0.5/瓶</t>
  </si>
  <si>
    <t>2.9%吡甲精（定制）</t>
  </si>
  <si>
    <t>50g*80瓶</t>
  </si>
  <si>
    <t>11g/L精甲咯嘧（水稻）</t>
  </si>
  <si>
    <t>10kg</t>
  </si>
  <si>
    <t>11g/L精甲咯嘧（大豆）</t>
  </si>
  <si>
    <t>11g/L精甲咯嘧（大豆花生）</t>
  </si>
  <si>
    <t>0.35/瓶</t>
  </si>
  <si>
    <t>0.3/瓶</t>
  </si>
  <si>
    <t>30g*80瓶</t>
  </si>
  <si>
    <t>500/吨桶</t>
  </si>
  <si>
    <t>35g/l精甲·咯菌晴-白</t>
  </si>
  <si>
    <t>1000/吨桶</t>
  </si>
  <si>
    <t>35g/l精甲·咯菌晴-红</t>
  </si>
  <si>
    <t>20%精甲霜灵</t>
  </si>
  <si>
    <t>5kg</t>
  </si>
  <si>
    <t>0.3kg</t>
  </si>
  <si>
    <t>10%丙硫菌唑-实验</t>
  </si>
  <si>
    <t>100g/L种菌唑-实验</t>
  </si>
  <si>
    <t>飞防增效兼容剂-实验</t>
  </si>
  <si>
    <t>4kg</t>
  </si>
  <si>
    <t>飞防增效兼容剂</t>
  </si>
  <si>
    <t>北农多收（吡唑醚菌酯）</t>
  </si>
  <si>
    <t>30g*60袋</t>
  </si>
  <si>
    <t>1000g*12瓶</t>
  </si>
  <si>
    <t>17%多·福（小麦）</t>
  </si>
  <si>
    <t>17%多·福（水稻）</t>
  </si>
  <si>
    <t>17%多·福(定制)</t>
  </si>
  <si>
    <t>0.1*80瓶</t>
  </si>
  <si>
    <t>0.1*40瓶</t>
  </si>
  <si>
    <t>20g*600袋</t>
  </si>
  <si>
    <t>20g*400袋</t>
  </si>
  <si>
    <t>25%多·毒·福（定制）</t>
  </si>
  <si>
    <t>25g*160瓶</t>
  </si>
  <si>
    <t>20%福克</t>
  </si>
  <si>
    <t>悬浮剂 合计</t>
  </si>
  <si>
    <t>红色浆</t>
  </si>
  <si>
    <t>蓝色浆</t>
  </si>
  <si>
    <t>8g/袋</t>
  </si>
  <si>
    <t>给丽膜（S60-红）</t>
  </si>
  <si>
    <t>给丽膜（S-白）</t>
  </si>
  <si>
    <t>给丽膜（S100-金黄）</t>
  </si>
  <si>
    <t>给丽膜（S100-蓝）</t>
  </si>
  <si>
    <t>给丽膜（S100-绿）</t>
  </si>
  <si>
    <t>给丽膜（S-翠绿）</t>
  </si>
  <si>
    <t>给丽膜（S100-红）</t>
  </si>
  <si>
    <t>给丽膜（S-绿）</t>
  </si>
  <si>
    <t>给丽膜（S-翠绿)-1</t>
  </si>
  <si>
    <t>给丽膜（S-紫）</t>
  </si>
  <si>
    <t>给丽膜（SF-紫）</t>
  </si>
  <si>
    <t>给丽膜（S-玫红）</t>
  </si>
  <si>
    <t>给丽膜（S-红谷子）</t>
  </si>
  <si>
    <t>给丽膜  合 计</t>
  </si>
  <si>
    <t xml:space="preserve">     悬浮剂+给丽膜  总计</t>
  </si>
  <si>
    <t xml:space="preserve">    干粉产品名称</t>
  </si>
  <si>
    <t>规格kg</t>
  </si>
  <si>
    <t>0.035/瓶</t>
  </si>
  <si>
    <t>63%吡·萎·福美双</t>
  </si>
  <si>
    <t>0.1/瓶</t>
  </si>
  <si>
    <t>0.02/瓶</t>
  </si>
  <si>
    <t>0.005/袋</t>
  </si>
  <si>
    <t>1kg(1000g)</t>
  </si>
  <si>
    <t>0.5/袋</t>
  </si>
  <si>
    <t>细粉研磨</t>
  </si>
  <si>
    <t>完成粉（膜丽达）</t>
  </si>
  <si>
    <t>15kg</t>
  </si>
  <si>
    <t>珠光粉</t>
  </si>
  <si>
    <t>18kg</t>
  </si>
  <si>
    <t>5g/袋</t>
  </si>
  <si>
    <t>粉剂总计</t>
  </si>
  <si>
    <t>半成品</t>
  </si>
  <si>
    <t>40%稻瘟酰胺</t>
  </si>
  <si>
    <t>63%吡萎福</t>
  </si>
  <si>
    <t>1000kgg</t>
  </si>
  <si>
    <t>稻瘟酰胺</t>
  </si>
  <si>
    <t>种菌唑</t>
  </si>
  <si>
    <t>三唑醇</t>
  </si>
  <si>
    <t>精甲霜灵(90%)</t>
  </si>
  <si>
    <t>甲维盐</t>
  </si>
  <si>
    <t>咯菌啨</t>
  </si>
  <si>
    <t>高效氯氰菊酯</t>
  </si>
  <si>
    <t>恶霉灵</t>
  </si>
  <si>
    <t>咪鲜胺</t>
  </si>
  <si>
    <t>噻呋酰胺</t>
  </si>
  <si>
    <t>氨基酸</t>
  </si>
  <si>
    <t>钼酸铵</t>
  </si>
  <si>
    <t>硼酸</t>
  </si>
  <si>
    <t>农用助剂（JSC-WG4）</t>
  </si>
  <si>
    <t>世名助剂（SUA700）</t>
  </si>
  <si>
    <t>JS8</t>
  </si>
  <si>
    <t>乳化剂（0201B）</t>
  </si>
  <si>
    <t>W01</t>
  </si>
  <si>
    <t>E106</t>
  </si>
  <si>
    <t>DS-505</t>
  </si>
  <si>
    <t>DS-539</t>
  </si>
  <si>
    <t>AF1501</t>
  </si>
  <si>
    <t>消泡剂（有机硅油）</t>
  </si>
  <si>
    <t>氯虫本甲酰胺</t>
  </si>
  <si>
    <t>氟环唑</t>
  </si>
  <si>
    <t>吲哚丁酸钾</t>
  </si>
  <si>
    <t xml:space="preserve">警戒色8222 </t>
  </si>
  <si>
    <t>凹凸棒土</t>
  </si>
  <si>
    <t>助成膜剂（单脂）</t>
  </si>
  <si>
    <t>湿润剂（EFW）</t>
  </si>
  <si>
    <t>农用助剂（SK-SC3星飞）</t>
  </si>
  <si>
    <t>PEG-200</t>
  </si>
  <si>
    <t>钛白粉</t>
  </si>
  <si>
    <t>绿色浆</t>
  </si>
  <si>
    <t>克莱恩蓝色粉（501501）</t>
  </si>
  <si>
    <t>克莱恩蓝色粉（PV fast blue Bg）</t>
  </si>
  <si>
    <t>科莱恩蓝色浆（blue an liq）</t>
  </si>
  <si>
    <t>黄色浆</t>
  </si>
  <si>
    <t>紫色浆(AgrocerVioletRB-2Lip)</t>
  </si>
  <si>
    <t>紫色浆(AgrocerVioletRB)</t>
  </si>
  <si>
    <t>403乳液</t>
  </si>
  <si>
    <t>Kelzan 黄原胶</t>
  </si>
  <si>
    <t>乳化剂EP0802（白油）</t>
  </si>
  <si>
    <t>420蜡助剂</t>
  </si>
  <si>
    <t>DS503</t>
  </si>
  <si>
    <t>D350</t>
  </si>
  <si>
    <t>克莱恩玫红色浆</t>
  </si>
  <si>
    <t>423助剂</t>
  </si>
  <si>
    <t>半成品调入</t>
  </si>
  <si>
    <t>返工旧药调入</t>
  </si>
  <si>
    <t>48%噻虫胺-20kg</t>
  </si>
  <si>
    <t>6%戊唑醇-10kg</t>
  </si>
  <si>
    <t>35g/l精甲·咯菌晴-10kg</t>
  </si>
  <si>
    <t>11g/L精甲咯嘧-100g</t>
  </si>
  <si>
    <t>6%戊唑·福美双-5kg</t>
  </si>
  <si>
    <t>10%氨基酸（北农多收）-150g</t>
  </si>
  <si>
    <t>11g/L精甲咯嘧-10kg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</si>
</sst>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b/>
      <sz val="12"/>
      <color rgb="FFC00000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0.5"/>
      <name val="宋体"/>
      <charset val="134"/>
    </font>
    <font>
      <b/>
      <sz val="10.5"/>
      <color rgb="FFC00000"/>
      <name val="宋体"/>
      <charset val="134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name val="宋体"/>
      <charset val="134"/>
    </font>
    <font>
      <sz val="18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sz val="12"/>
      <color theme="1"/>
      <name val="宋体"/>
      <charset val="134"/>
      <scheme val="minor"/>
    </font>
    <font>
      <b/>
      <sz val="11"/>
      <name val="宋体"/>
      <charset val="134"/>
    </font>
    <font>
      <b/>
      <sz val="12"/>
      <color theme="3"/>
      <name val="宋体"/>
      <charset val="134"/>
      <scheme val="minor"/>
    </font>
    <font>
      <b/>
      <sz val="11"/>
      <color rgb="FFFF0000"/>
      <name val="宋体"/>
      <charset val="134"/>
    </font>
    <font>
      <b/>
      <sz val="12"/>
      <color rgb="FFFF0000"/>
      <name val="宋体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b/>
      <sz val="10"/>
      <color indexed="8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rgb="FF7030A0"/>
      <name val="宋体"/>
      <charset val="134"/>
    </font>
    <font>
      <b/>
      <sz val="14"/>
      <color indexed="8"/>
      <name val="宋体"/>
      <charset val="134"/>
    </font>
    <font>
      <b/>
      <sz val="14"/>
      <name val="宋体"/>
      <charset val="134"/>
      <scheme val="minor"/>
    </font>
    <font>
      <sz val="10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0" fillId="13" borderId="1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1">
      <alignment vertical="center"/>
    </xf>
    <xf numFmtId="0" fontId="40" fillId="0" borderId="11">
      <alignment vertical="center"/>
    </xf>
    <xf numFmtId="0" fontId="41" fillId="0" borderId="12">
      <alignment vertical="center"/>
    </xf>
    <xf numFmtId="0" fontId="41" fillId="0" borderId="0">
      <alignment vertical="center"/>
    </xf>
    <xf numFmtId="0" fontId="42" fillId="14" borderId="13">
      <alignment vertical="center"/>
    </xf>
    <xf numFmtId="0" fontId="43" fillId="15" borderId="14">
      <alignment vertical="center"/>
    </xf>
    <xf numFmtId="0" fontId="44" fillId="15" borderId="13">
      <alignment vertical="center"/>
    </xf>
    <xf numFmtId="0" fontId="45" fillId="16" borderId="15">
      <alignment vertical="center"/>
    </xf>
    <xf numFmtId="0" fontId="46" fillId="0" borderId="16">
      <alignment vertical="center"/>
    </xf>
    <xf numFmtId="0" fontId="47" fillId="0" borderId="17">
      <alignment vertical="center"/>
    </xf>
    <xf numFmtId="0" fontId="48" fillId="17" borderId="0">
      <alignment vertical="center"/>
    </xf>
    <xf numFmtId="0" fontId="49" fillId="18" borderId="0">
      <alignment vertical="center"/>
    </xf>
    <xf numFmtId="0" fontId="50" fillId="19" borderId="0">
      <alignment vertical="center"/>
    </xf>
    <xf numFmtId="0" fontId="51" fillId="20" borderId="0">
      <alignment vertical="center"/>
    </xf>
    <xf numFmtId="0" fontId="52" fillId="21" borderId="0">
      <alignment vertical="center"/>
    </xf>
    <xf numFmtId="0" fontId="52" fillId="22" borderId="0">
      <alignment vertical="center"/>
    </xf>
    <xf numFmtId="0" fontId="51" fillId="23" borderId="0">
      <alignment vertical="center"/>
    </xf>
    <xf numFmtId="0" fontId="51" fillId="24" borderId="0">
      <alignment vertical="center"/>
    </xf>
    <xf numFmtId="0" fontId="52" fillId="25" borderId="0">
      <alignment vertical="center"/>
    </xf>
    <xf numFmtId="0" fontId="52" fillId="26" borderId="0">
      <alignment vertical="center"/>
    </xf>
    <xf numFmtId="0" fontId="51" fillId="27" borderId="0">
      <alignment vertical="center"/>
    </xf>
    <xf numFmtId="0" fontId="51" fillId="28" borderId="0">
      <alignment vertical="center"/>
    </xf>
    <xf numFmtId="0" fontId="52" fillId="29" borderId="0">
      <alignment vertical="center"/>
    </xf>
    <xf numFmtId="0" fontId="52" fillId="30" borderId="0">
      <alignment vertical="center"/>
    </xf>
    <xf numFmtId="0" fontId="51" fillId="31" borderId="0">
      <alignment vertical="center"/>
    </xf>
    <xf numFmtId="0" fontId="51" fillId="32" borderId="0">
      <alignment vertical="center"/>
    </xf>
    <xf numFmtId="0" fontId="52" fillId="7" borderId="0">
      <alignment vertical="center"/>
    </xf>
    <xf numFmtId="0" fontId="52" fillId="33" borderId="0">
      <alignment vertical="center"/>
    </xf>
    <xf numFmtId="0" fontId="51" fillId="34" borderId="0">
      <alignment vertical="center"/>
    </xf>
    <xf numFmtId="0" fontId="51" fillId="35" borderId="0">
      <alignment vertical="center"/>
    </xf>
    <xf numFmtId="0" fontId="52" fillId="36" borderId="0">
      <alignment vertical="center"/>
    </xf>
    <xf numFmtId="0" fontId="52" fillId="37" borderId="0">
      <alignment vertical="center"/>
    </xf>
    <xf numFmtId="0" fontId="51" fillId="38" borderId="0">
      <alignment vertical="center"/>
    </xf>
    <xf numFmtId="0" fontId="51" fillId="39" borderId="0">
      <alignment vertical="center"/>
    </xf>
    <xf numFmtId="0" fontId="52" fillId="40" borderId="0">
      <alignment vertical="center"/>
    </xf>
    <xf numFmtId="0" fontId="52" fillId="41" borderId="0">
      <alignment vertical="center"/>
    </xf>
    <xf numFmtId="0" fontId="51" fillId="42" borderId="0">
      <alignment vertical="center"/>
    </xf>
    <xf numFmtId="0" fontId="2" fillId="0" borderId="0"/>
    <xf numFmtId="0" fontId="0" fillId="0" borderId="0"/>
  </cellStyleXfs>
  <cellXfs count="127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justify" vertical="top" wrapText="1"/>
    </xf>
    <xf numFmtId="0" fontId="2" fillId="2" borderId="2" xfId="0" applyNumberFormat="1" applyFont="1" applyFill="1" applyBorder="1" applyAlignment="1" applyProtection="1">
      <alignment vertical="center" wrapText="1"/>
    </xf>
    <xf numFmtId="0" fontId="3" fillId="2" borderId="2" xfId="0" applyNumberFormat="1" applyFont="1" applyFill="1" applyBorder="1" applyAlignment="1" applyProtection="1">
      <alignment vertical="center" wrapText="1"/>
    </xf>
    <xf numFmtId="0" fontId="2" fillId="0" borderId="2" xfId="0" applyNumberFormat="1" applyFont="1" applyFill="1" applyBorder="1" applyAlignment="1" applyProtection="1">
      <alignment vertical="center" wrapText="1"/>
    </xf>
    <xf numFmtId="0" fontId="2" fillId="3" borderId="2" xfId="0" applyNumberFormat="1" applyFont="1" applyFill="1" applyBorder="1" applyAlignment="1" applyProtection="1">
      <alignment vertical="center" wrapText="1"/>
    </xf>
    <xf numFmtId="0" fontId="4" fillId="2" borderId="2" xfId="0" applyNumberFormat="1" applyFont="1" applyFill="1" applyBorder="1" applyAlignment="1" applyProtection="1">
      <alignment horizontal="left" vertical="center" wrapText="1"/>
    </xf>
    <xf numFmtId="0" fontId="4" fillId="2" borderId="3" xfId="0" applyNumberFormat="1" applyFont="1" applyFill="1" applyBorder="1" applyAlignment="1" applyProtection="1">
      <alignment horizontal="left" vertical="center" wrapText="1"/>
    </xf>
    <xf numFmtId="0" fontId="5" fillId="4" borderId="2" xfId="0" applyNumberFormat="1" applyFont="1" applyFill="1" applyBorder="1" applyAlignment="1" applyProtection="1">
      <alignment horizontal="center" vertical="center" wrapText="1"/>
    </xf>
    <xf numFmtId="0" fontId="5" fillId="4" borderId="2" xfId="0" applyNumberFormat="1" applyFont="1" applyFill="1" applyBorder="1" applyAlignment="1" applyProtection="1">
      <alignment vertical="center" wrapText="1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0" fontId="0" fillId="0" borderId="4" xfId="0" applyFont="1" applyFill="1" applyBorder="1" applyAlignment="1">
      <alignment horizontal="justify" vertical="top" wrapText="1"/>
    </xf>
    <xf numFmtId="0" fontId="7" fillId="0" borderId="3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5" fillId="4" borderId="5" xfId="0" applyNumberFormat="1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>
      <alignment horizontal="center" vertical="top" wrapText="1"/>
    </xf>
    <xf numFmtId="0" fontId="6" fillId="3" borderId="5" xfId="0" applyNumberFormat="1" applyFont="1" applyFill="1" applyBorder="1" applyAlignment="1" applyProtection="1">
      <alignment horizontal="center" vertical="center" wrapText="1"/>
    </xf>
    <xf numFmtId="0" fontId="10" fillId="5" borderId="6" xfId="49" applyFont="1" applyFill="1" applyBorder="1" applyAlignment="1">
      <alignment vertical="center" shrinkToFit="1"/>
    </xf>
    <xf numFmtId="0" fontId="10" fillId="0" borderId="6" xfId="49" applyFont="1" applyFill="1" applyBorder="1" applyAlignment="1">
      <alignment vertical="center" shrinkToFit="1"/>
    </xf>
    <xf numFmtId="0" fontId="7" fillId="0" borderId="3" xfId="0" applyFont="1" applyFill="1" applyBorder="1" applyAlignment="1">
      <alignment horizontal="right" vertical="top" wrapText="1"/>
    </xf>
    <xf numFmtId="0" fontId="10" fillId="2" borderId="6" xfId="49" applyFont="1" applyFill="1" applyBorder="1" applyAlignment="1">
      <alignment horizontal="left" vertical="center" shrinkToFit="1"/>
    </xf>
    <xf numFmtId="0" fontId="10" fillId="0" borderId="6" xfId="49" applyFont="1" applyFill="1" applyBorder="1" applyAlignment="1">
      <alignment horizontal="left" vertical="center" shrinkToFit="1"/>
    </xf>
    <xf numFmtId="0" fontId="11" fillId="0" borderId="3" xfId="0" applyNumberFormat="1" applyFont="1" applyFill="1" applyBorder="1" applyAlignment="1">
      <alignment horizontal="right" vertical="top" wrapText="1"/>
    </xf>
    <xf numFmtId="0" fontId="5" fillId="0" borderId="3" xfId="0" applyFont="1" applyFill="1" applyBorder="1" applyAlignment="1">
      <alignment horizontal="center" vertical="top" wrapText="1"/>
    </xf>
    <xf numFmtId="0" fontId="10" fillId="0" borderId="7" xfId="49" applyFont="1" applyFill="1" applyBorder="1" applyAlignment="1">
      <alignment horizontal="left"/>
    </xf>
    <xf numFmtId="0" fontId="10" fillId="0" borderId="6" xfId="49" applyFont="1" applyFill="1" applyBorder="1" applyAlignment="1">
      <alignment horizontal="left"/>
    </xf>
    <xf numFmtId="0" fontId="11" fillId="0" borderId="7" xfId="0" applyFont="1" applyFill="1" applyBorder="1" applyAlignment="1">
      <alignment horizontal="left" shrinkToFit="1"/>
    </xf>
    <xf numFmtId="0" fontId="10" fillId="0" borderId="7" xfId="0" applyFont="1" applyFill="1" applyBorder="1" applyAlignment="1">
      <alignment shrinkToFit="1"/>
    </xf>
    <xf numFmtId="0" fontId="10" fillId="2" borderId="6" xfId="49" applyFont="1" applyFill="1" applyBorder="1" applyAlignment="1">
      <alignment vertical="center" shrinkToFit="1"/>
    </xf>
    <xf numFmtId="0" fontId="12" fillId="2" borderId="6" xfId="49" applyFont="1" applyFill="1" applyBorder="1" applyAlignment="1">
      <alignment vertical="center" shrinkToFit="1"/>
    </xf>
    <xf numFmtId="0" fontId="11" fillId="0" borderId="3" xfId="0" applyFont="1" applyFill="1" applyBorder="1" applyAlignment="1">
      <alignment vertical="center"/>
    </xf>
    <xf numFmtId="0" fontId="12" fillId="4" borderId="6" xfId="49" applyFont="1" applyFill="1" applyBorder="1" applyAlignment="1">
      <alignment vertical="center" shrinkToFit="1"/>
    </xf>
    <xf numFmtId="0" fontId="11" fillId="0" borderId="3" xfId="0" applyFont="1" applyFill="1" applyBorder="1" applyAlignment="1"/>
    <xf numFmtId="0" fontId="11" fillId="0" borderId="7" xfId="0" applyFont="1" applyFill="1" applyBorder="1" applyAlignment="1">
      <alignment shrinkToFit="1"/>
    </xf>
    <xf numFmtId="0" fontId="10" fillId="3" borderId="6" xfId="49" applyFont="1" applyFill="1" applyBorder="1" applyAlignment="1">
      <alignment vertical="center" shrinkToFit="1"/>
    </xf>
    <xf numFmtId="0" fontId="10" fillId="2" borderId="7" xfId="49" applyFont="1" applyFill="1" applyBorder="1" applyAlignment="1">
      <alignment vertical="center" shrinkToFit="1"/>
    </xf>
    <xf numFmtId="0" fontId="10" fillId="0" borderId="7" xfId="50" applyFont="1" applyFill="1" applyBorder="1"/>
    <xf numFmtId="0" fontId="10" fillId="6" borderId="7" xfId="50" applyFont="1" applyFill="1" applyBorder="1"/>
    <xf numFmtId="0" fontId="13" fillId="7" borderId="6" xfId="49" applyFont="1" applyFill="1" applyBorder="1" applyAlignment="1">
      <alignment vertical="center" shrinkToFit="1"/>
    </xf>
    <xf numFmtId="0" fontId="10" fillId="7" borderId="6" xfId="49" applyFont="1" applyFill="1" applyBorder="1" applyAlignment="1">
      <alignment horizontal="left" vertical="center" shrinkToFit="1"/>
    </xf>
    <xf numFmtId="0" fontId="10" fillId="7" borderId="6" xfId="49" applyFont="1" applyFill="1" applyBorder="1" applyAlignment="1">
      <alignment vertical="center" shrinkToFit="1"/>
    </xf>
    <xf numFmtId="0" fontId="0" fillId="0" borderId="3" xfId="0" applyFill="1" applyBorder="1" applyAlignment="1"/>
    <xf numFmtId="0" fontId="12" fillId="7" borderId="6" xfId="49" applyFont="1" applyFill="1" applyBorder="1" applyAlignment="1">
      <alignment vertical="center" shrinkToFit="1"/>
    </xf>
    <xf numFmtId="0" fontId="14" fillId="7" borderId="6" xfId="49" applyFont="1" applyFill="1" applyBorder="1" applyAlignment="1">
      <alignment vertical="center" shrinkToFit="1"/>
    </xf>
    <xf numFmtId="0" fontId="10" fillId="7" borderId="7" xfId="0" applyFont="1" applyFill="1" applyBorder="1" applyAlignment="1"/>
    <xf numFmtId="0" fontId="12" fillId="7" borderId="7" xfId="0" applyFont="1" applyFill="1" applyBorder="1" applyAlignment="1"/>
    <xf numFmtId="0" fontId="10" fillId="4" borderId="7" xfId="0" applyFont="1" applyFill="1" applyBorder="1" applyAlignment="1"/>
    <xf numFmtId="0" fontId="10" fillId="0" borderId="6" xfId="0" applyFont="1" applyFill="1" applyBorder="1" applyAlignment="1"/>
    <xf numFmtId="0" fontId="11" fillId="7" borderId="7" xfId="0" applyFont="1" applyFill="1" applyBorder="1" applyAlignment="1"/>
    <xf numFmtId="0" fontId="10" fillId="0" borderId="7" xfId="0" applyFont="1" applyFill="1" applyBorder="1" applyAlignment="1"/>
    <xf numFmtId="0" fontId="15" fillId="7" borderId="7" xfId="0" applyFont="1" applyFill="1" applyBorder="1" applyAlignment="1"/>
    <xf numFmtId="0" fontId="11" fillId="5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5" fillId="5" borderId="3" xfId="0" applyFont="1" applyFill="1" applyBorder="1" applyAlignment="1"/>
    <xf numFmtId="0" fontId="16" fillId="3" borderId="3" xfId="0" applyFont="1" applyFill="1" applyBorder="1" applyAlignment="1"/>
    <xf numFmtId="0" fontId="17" fillId="3" borderId="2" xfId="0" applyNumberFormat="1" applyFont="1" applyFill="1" applyBorder="1" applyAlignment="1" applyProtection="1">
      <alignment vertical="center" wrapText="1"/>
    </xf>
    <xf numFmtId="0" fontId="18" fillId="0" borderId="0" xfId="0" applyFont="1" applyAlignment="1">
      <alignment horizontal="center" vertical="center"/>
    </xf>
    <xf numFmtId="0" fontId="19" fillId="2" borderId="3" xfId="0" applyNumberFormat="1" applyFont="1" applyFill="1" applyBorder="1" applyAlignment="1" applyProtection="1">
      <alignment horizontal="center" vertical="center" wrapText="1"/>
    </xf>
    <xf numFmtId="0" fontId="20" fillId="2" borderId="3" xfId="0" applyNumberFormat="1" applyFont="1" applyFill="1" applyBorder="1" applyAlignment="1" applyProtection="1">
      <alignment horizontal="center" vertical="center" wrapText="1"/>
    </xf>
    <xf numFmtId="0" fontId="11" fillId="0" borderId="3" xfId="0" applyFont="1" applyBorder="1" applyAlignment="1">
      <alignment vertical="center"/>
    </xf>
    <xf numFmtId="0" fontId="19" fillId="2" borderId="2" xfId="0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vertical="center"/>
    </xf>
    <xf numFmtId="0" fontId="21" fillId="0" borderId="3" xfId="0" applyFont="1" applyBorder="1" applyAlignment="1">
      <alignment vertical="center"/>
    </xf>
    <xf numFmtId="0" fontId="20" fillId="2" borderId="2" xfId="0" applyNumberFormat="1" applyFont="1" applyFill="1" applyBorder="1" applyAlignment="1" applyProtection="1">
      <alignment horizontal="center" vertical="center"/>
    </xf>
    <xf numFmtId="0" fontId="22" fillId="2" borderId="2" xfId="0" applyNumberFormat="1" applyFont="1" applyFill="1" applyBorder="1" applyAlignment="1" applyProtection="1">
      <alignment vertical="center" wrapText="1"/>
    </xf>
    <xf numFmtId="0" fontId="7" fillId="2" borderId="2" xfId="0" applyNumberFormat="1" applyFont="1" applyFill="1" applyBorder="1" applyAlignment="1" applyProtection="1">
      <alignment horizontal="center" vertical="center"/>
    </xf>
    <xf numFmtId="0" fontId="23" fillId="0" borderId="3" xfId="0" applyFont="1" applyBorder="1" applyAlignment="1">
      <alignment vertical="center"/>
    </xf>
    <xf numFmtId="0" fontId="24" fillId="2" borderId="2" xfId="0" applyNumberFormat="1" applyFont="1" applyFill="1" applyBorder="1" applyAlignment="1" applyProtection="1">
      <alignment vertical="center" wrapText="1"/>
    </xf>
    <xf numFmtId="0" fontId="25" fillId="2" borderId="2" xfId="0" applyNumberFormat="1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>
      <alignment horizontal="left" vertical="top"/>
    </xf>
    <xf numFmtId="0" fontId="26" fillId="2" borderId="2" xfId="0" applyNumberFormat="1" applyFont="1" applyFill="1" applyBorder="1" applyAlignment="1" applyProtection="1">
      <alignment vertical="center" wrapText="1"/>
    </xf>
    <xf numFmtId="0" fontId="19" fillId="0" borderId="2" xfId="0" applyNumberFormat="1" applyFont="1" applyFill="1" applyBorder="1" applyAlignment="1" applyProtection="1">
      <alignment horizontal="center" vertical="center"/>
    </xf>
    <xf numFmtId="0" fontId="10" fillId="0" borderId="3" xfId="0" applyFont="1" applyBorder="1" applyAlignment="1">
      <alignment vertical="center"/>
    </xf>
    <xf numFmtId="0" fontId="19" fillId="2" borderId="2" xfId="0" applyNumberFormat="1" applyFont="1" applyFill="1" applyBorder="1" applyAlignment="1" applyProtection="1">
      <alignment horizontal="center" vertical="center" wrapText="1"/>
    </xf>
    <xf numFmtId="0" fontId="27" fillId="2" borderId="2" xfId="0" applyNumberFormat="1" applyFont="1" applyFill="1" applyBorder="1" applyAlignment="1" applyProtection="1">
      <alignment horizontal="center" vertical="center"/>
    </xf>
    <xf numFmtId="0" fontId="28" fillId="2" borderId="2" xfId="0" applyNumberFormat="1" applyFont="1" applyFill="1" applyBorder="1" applyAlignment="1" applyProtection="1">
      <alignment horizontal="center" vertical="center" wrapText="1"/>
    </xf>
    <xf numFmtId="0" fontId="29" fillId="8" borderId="8" xfId="0" applyFont="1" applyFill="1" applyBorder="1" applyAlignment="1" applyProtection="1">
      <alignment horizontal="center" vertical="center"/>
    </xf>
    <xf numFmtId="0" fontId="29" fillId="8" borderId="9" xfId="0" applyFont="1" applyFill="1" applyBorder="1" applyAlignment="1" applyProtection="1">
      <alignment horizontal="center" vertical="center"/>
    </xf>
    <xf numFmtId="0" fontId="11" fillId="8" borderId="3" xfId="0" applyFont="1" applyFill="1" applyBorder="1" applyAlignment="1">
      <alignment vertical="center"/>
    </xf>
    <xf numFmtId="0" fontId="2" fillId="2" borderId="3" xfId="0" applyNumberFormat="1" applyFont="1" applyFill="1" applyBorder="1" applyAlignment="1" applyProtection="1">
      <alignment horizontal="left" vertical="center"/>
    </xf>
    <xf numFmtId="0" fontId="20" fillId="2" borderId="9" xfId="0" applyNumberFormat="1" applyFont="1" applyFill="1" applyBorder="1" applyAlignment="1" applyProtection="1">
      <alignment horizontal="left" vertical="center"/>
    </xf>
    <xf numFmtId="0" fontId="7" fillId="2" borderId="2" xfId="0" applyNumberFormat="1" applyFont="1" applyFill="1" applyBorder="1" applyAlignment="1" applyProtection="1">
      <alignment vertical="center" wrapText="1"/>
    </xf>
    <xf numFmtId="0" fontId="25" fillId="2" borderId="3" xfId="50" applyFont="1" applyFill="1" applyBorder="1" applyAlignment="1" applyProtection="1">
      <alignment vertical="center"/>
    </xf>
    <xf numFmtId="0" fontId="30" fillId="2" borderId="2" xfId="0" applyNumberFormat="1" applyFont="1" applyFill="1" applyBorder="1" applyAlignment="1" applyProtection="1">
      <alignment vertical="center" wrapText="1"/>
    </xf>
    <xf numFmtId="0" fontId="25" fillId="2" borderId="2" xfId="0" applyNumberFormat="1" applyFont="1" applyFill="1" applyBorder="1" applyAlignment="1" applyProtection="1">
      <alignment vertical="center" wrapText="1"/>
    </xf>
    <xf numFmtId="0" fontId="31" fillId="8" borderId="8" xfId="0" applyNumberFormat="1" applyFont="1" applyFill="1" applyBorder="1" applyAlignment="1" applyProtection="1">
      <alignment horizontal="center" vertical="center"/>
    </xf>
    <xf numFmtId="0" fontId="31" fillId="8" borderId="9" xfId="0" applyNumberFormat="1" applyFont="1" applyFill="1" applyBorder="1" applyAlignment="1" applyProtection="1">
      <alignment horizontal="center" vertical="center"/>
    </xf>
    <xf numFmtId="0" fontId="17" fillId="8" borderId="7" xfId="0" applyNumberFormat="1" applyFont="1" applyFill="1" applyBorder="1" applyAlignment="1" applyProtection="1">
      <alignment horizontal="left" vertical="center" wrapText="1"/>
    </xf>
    <xf numFmtId="0" fontId="17" fillId="8" borderId="9" xfId="0" applyNumberFormat="1" applyFont="1" applyFill="1" applyBorder="1" applyAlignment="1" applyProtection="1">
      <alignment horizontal="left" vertical="center" wrapText="1"/>
    </xf>
    <xf numFmtId="0" fontId="31" fillId="2" borderId="3" xfId="0" applyNumberFormat="1" applyFont="1" applyFill="1" applyBorder="1" applyAlignment="1" applyProtection="1">
      <alignment horizontal="center" vertical="center" wrapText="1"/>
    </xf>
    <xf numFmtId="0" fontId="28" fillId="2" borderId="3" xfId="0" applyNumberFormat="1" applyFont="1" applyFill="1" applyBorder="1" applyAlignment="1" applyProtection="1">
      <alignment horizontal="center" vertical="center" wrapText="1"/>
    </xf>
    <xf numFmtId="0" fontId="20" fillId="2" borderId="2" xfId="0" applyNumberFormat="1" applyFont="1" applyFill="1" applyBorder="1" applyAlignment="1" applyProtection="1">
      <alignment horizontal="left" vertical="center"/>
    </xf>
    <xf numFmtId="0" fontId="4" fillId="2" borderId="2" xfId="0" applyNumberFormat="1" applyFont="1" applyFill="1" applyBorder="1" applyAlignment="1" applyProtection="1">
      <alignment horizontal="left" vertical="center"/>
    </xf>
    <xf numFmtId="0" fontId="20" fillId="2" borderId="2" xfId="0" applyNumberFormat="1" applyFont="1" applyFill="1" applyBorder="1" applyAlignment="1" applyProtection="1">
      <alignment vertical="center"/>
    </xf>
    <xf numFmtId="0" fontId="22" fillId="2" borderId="2" xfId="0" applyNumberFormat="1" applyFont="1" applyFill="1" applyBorder="1" applyAlignment="1" applyProtection="1">
      <alignment vertical="center"/>
    </xf>
    <xf numFmtId="0" fontId="22" fillId="2" borderId="2" xfId="0" applyNumberFormat="1" applyFont="1" applyFill="1" applyBorder="1" applyAlignment="1" applyProtection="1">
      <alignment horizontal="center" vertical="center"/>
    </xf>
    <xf numFmtId="0" fontId="20" fillId="2" borderId="3" xfId="0" applyNumberFormat="1" applyFont="1" applyFill="1" applyBorder="1" applyAlignment="1" applyProtection="1">
      <alignment horizontal="left" vertical="center"/>
    </xf>
    <xf numFmtId="0" fontId="24" fillId="2" borderId="3" xfId="0" applyNumberFormat="1" applyFont="1" applyFill="1" applyBorder="1" applyAlignment="1" applyProtection="1">
      <alignment horizontal="left" vertical="center"/>
    </xf>
    <xf numFmtId="0" fontId="4" fillId="2" borderId="3" xfId="0" applyNumberFormat="1" applyFont="1" applyFill="1" applyBorder="1" applyAlignment="1" applyProtection="1">
      <alignment horizontal="left" vertical="center"/>
    </xf>
    <xf numFmtId="0" fontId="32" fillId="8" borderId="8" xfId="0" applyFont="1" applyFill="1" applyBorder="1" applyAlignment="1" applyProtection="1">
      <alignment horizontal="center" vertical="center"/>
    </xf>
    <xf numFmtId="0" fontId="32" fillId="8" borderId="9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/>
    <xf numFmtId="0" fontId="0" fillId="0" borderId="3" xfId="0" applyFill="1" applyBorder="1" applyAlignment="1">
      <alignment vertical="center"/>
    </xf>
    <xf numFmtId="0" fontId="33" fillId="0" borderId="0" xfId="0" applyFont="1" applyFill="1" applyBorder="1" applyAlignment="1"/>
    <xf numFmtId="0" fontId="33" fillId="9" borderId="0" xfId="0" applyFont="1" applyFill="1" applyBorder="1" applyAlignment="1"/>
    <xf numFmtId="0" fontId="0" fillId="10" borderId="0" xfId="0" applyFill="1" applyAlignment="1"/>
    <xf numFmtId="0" fontId="2" fillId="10" borderId="2" xfId="0" applyNumberFormat="1" applyFont="1" applyFill="1" applyBorder="1" applyAlignment="1" applyProtection="1">
      <alignment vertical="center" wrapText="1"/>
    </xf>
    <xf numFmtId="0" fontId="3" fillId="10" borderId="2" xfId="0" applyNumberFormat="1" applyFont="1" applyFill="1" applyBorder="1" applyAlignment="1" applyProtection="1">
      <alignment vertical="center" wrapText="1"/>
    </xf>
    <xf numFmtId="0" fontId="5" fillId="10" borderId="2" xfId="0" applyNumberFormat="1" applyFont="1" applyFill="1" applyBorder="1" applyAlignment="1" applyProtection="1">
      <alignment vertical="center" wrapText="1"/>
    </xf>
    <xf numFmtId="0" fontId="4" fillId="10" borderId="3" xfId="0" applyNumberFormat="1" applyFont="1" applyFill="1" applyBorder="1" applyAlignment="1" applyProtection="1">
      <alignment horizontal="left" vertical="center" wrapText="1"/>
    </xf>
    <xf numFmtId="0" fontId="4" fillId="10" borderId="2" xfId="0" applyNumberFormat="1" applyFont="1" applyFill="1" applyBorder="1" applyAlignment="1" applyProtection="1">
      <alignment horizontal="left" vertical="center" wrapText="1"/>
    </xf>
    <xf numFmtId="0" fontId="8" fillId="10" borderId="3" xfId="0" applyFont="1" applyFill="1" applyBorder="1" applyAlignment="1">
      <alignment horizontal="center" vertical="top" wrapText="1"/>
    </xf>
    <xf numFmtId="0" fontId="9" fillId="10" borderId="3" xfId="0" applyFont="1" applyFill="1" applyBorder="1" applyAlignment="1">
      <alignment horizontal="center" vertical="top" wrapText="1"/>
    </xf>
    <xf numFmtId="0" fontId="8" fillId="11" borderId="3" xfId="0" applyFont="1" applyFill="1" applyBorder="1" applyAlignment="1">
      <alignment horizontal="center" vertical="top" wrapText="1"/>
    </xf>
    <xf numFmtId="0" fontId="0" fillId="9" borderId="3" xfId="0" applyFill="1" applyBorder="1" applyAlignment="1">
      <alignment vertical="center"/>
    </xf>
    <xf numFmtId="0" fontId="2" fillId="0" borderId="3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/>
    <xf numFmtId="0" fontId="0" fillId="10" borderId="3" xfId="0" applyFill="1" applyBorder="1" applyAlignment="1">
      <alignment horizontal="center" vertical="center"/>
    </xf>
    <xf numFmtId="0" fontId="0" fillId="12" borderId="3" xfId="0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2" fillId="10" borderId="3" xfId="0" applyFont="1" applyFill="1" applyBorder="1" applyAlignment="1">
      <alignment horizontal="center" vertical="top" wrapText="1"/>
    </xf>
    <xf numFmtId="0" fontId="0" fillId="11" borderId="3" xfId="0" applyFill="1" applyBorder="1" applyAlignment="1">
      <alignment vertical="center"/>
    </xf>
    <xf numFmtId="0" fontId="0" fillId="0" borderId="0" xfId="0" applyFill="1" applyAlignment="1" quotePrefix="1"/>
    <xf numFmtId="0" fontId="0" fillId="10" borderId="0" xfId="0" applyFill="1" applyAlignment="1" quotePrefix="1"/>
    <xf numFmtId="0" fontId="0" fillId="12" borderId="3" xfId="0" applyFill="1" applyBorder="1" applyAlignment="1" quotePrefix="1">
      <alignment vertical="center"/>
    </xf>
    <xf numFmtId="0" fontId="0" fillId="11" borderId="3" xfId="0" applyFill="1" applyBorder="1" applyAlignment="1" quotePrefix="1">
      <alignment vertical="center"/>
    </xf>
    <xf numFmtId="0" fontId="1" fillId="0" borderId="3" xfId="0" applyFont="1" applyFill="1" applyBorder="1" applyAlignment="1" quotePrefix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P108"/>
  <sheetViews>
    <sheetView workbookViewId="0">
      <pane xSplit="4" ySplit="5" topLeftCell="E6" activePane="bottomRight" state="frozen"/>
      <selection/>
      <selection pane="topRight"/>
      <selection pane="bottomLeft"/>
      <selection pane="bottomRight" activeCell="AQ4" sqref="AQ4"/>
    </sheetView>
  </sheetViews>
  <sheetFormatPr defaultColWidth="9" defaultRowHeight="13.5"/>
  <cols>
    <col min="1" max="1" width="9" style="1"/>
    <col min="2" max="2" width="17.125" customWidth="1"/>
    <col min="3" max="3" width="43" customWidth="1"/>
    <col min="4" max="4" width="44.75" style="1" customWidth="1"/>
    <col min="5" max="26" width="7.775" style="1" customWidth="1" outlineLevel="2"/>
    <col min="27" max="32" width="7.55833333333333" style="1" customWidth="1" outlineLevel="2"/>
    <col min="33" max="33" width="20.25" style="109" customWidth="1" outlineLevel="2"/>
    <col min="34" max="34" width="23.5" style="109" customWidth="1" outlineLevel="2"/>
    <col min="35" max="35" width="7" style="109" customWidth="1" outlineLevel="1"/>
    <col min="36" max="36" width="29.75" style="109" customWidth="1" outlineLevel="1"/>
    <col min="37" max="37" width="7.55833333333333" style="109" customWidth="1" outlineLevel="1"/>
    <col min="38" max="38" width="32.875" style="109" customWidth="1" outlineLevel="1"/>
    <col min="39" max="39" width="26.5" style="109" customWidth="1" outlineLevel="1"/>
    <col min="40" max="40" width="7.55833333333333" style="109" customWidth="1" outlineLevel="1"/>
    <col min="41" max="41" width="10.6666666666667" style="1" customWidth="1"/>
    <col min="42" max="42" width="10.375" style="1"/>
    <col min="43" max="16384" width="9" style="1"/>
  </cols>
  <sheetData>
    <row r="1" spans="2:42">
      <c r="AI1" s="109">
        <v>34.265</v>
      </c>
      <c r="AK1" s="109">
        <v>5.469</v>
      </c>
    </row>
    <row r="2" s="1" customFormat="1" spans="2:42">
      <c r="B2"/>
      <c r="C2"/>
      <c r="AG2" s="109" t="s">
        <v>0</v>
      </c>
      <c r="AH2" s="109" t="s">
        <v>1</v>
      </c>
      <c r="AI2" s="109"/>
      <c r="AJ2" s="109" t="s">
        <v>2</v>
      </c>
      <c r="AK2" s="109"/>
      <c r="AL2" s="109" t="s">
        <v>3</v>
      </c>
      <c r="AM2" s="109" t="s">
        <v>4</v>
      </c>
      <c r="AN2" s="109" t="s">
        <v>5</v>
      </c>
    </row>
    <row r="3" s="1" customFormat="1" spans="2:42">
      <c r="B3"/>
      <c r="C3"/>
      <c r="E3" s="127" t="s">
        <v>6</v>
      </c>
      <c r="F3" s="127" t="s">
        <v>7</v>
      </c>
      <c r="G3" s="127" t="s">
        <v>8</v>
      </c>
      <c r="H3" s="127" t="s">
        <v>9</v>
      </c>
      <c r="I3" s="127" t="s">
        <v>10</v>
      </c>
      <c r="J3" s="127" t="s">
        <v>11</v>
      </c>
      <c r="K3" s="127" t="s">
        <v>12</v>
      </c>
      <c r="L3" s="127" t="s">
        <v>13</v>
      </c>
      <c r="M3" s="127" t="s">
        <v>14</v>
      </c>
      <c r="N3" s="127" t="s">
        <v>15</v>
      </c>
      <c r="O3" s="127" t="s">
        <v>16</v>
      </c>
      <c r="P3" s="127" t="s">
        <v>17</v>
      </c>
      <c r="Q3" s="127" t="s">
        <v>18</v>
      </c>
      <c r="R3" s="127" t="s">
        <v>19</v>
      </c>
      <c r="S3" s="1">
        <v>310130</v>
      </c>
      <c r="T3" s="127" t="s">
        <v>20</v>
      </c>
      <c r="U3" s="127" t="s">
        <v>21</v>
      </c>
      <c r="V3" s="1">
        <v>310110</v>
      </c>
      <c r="W3" s="127" t="s">
        <v>22</v>
      </c>
      <c r="X3" s="127" t="s">
        <v>23</v>
      </c>
      <c r="Y3" s="127" t="s">
        <v>24</v>
      </c>
      <c r="Z3" s="1">
        <v>717306</v>
      </c>
      <c r="AA3" s="1">
        <v>716103</v>
      </c>
      <c r="AB3" s="1">
        <v>716101</v>
      </c>
      <c r="AC3" s="1">
        <v>110107</v>
      </c>
      <c r="AD3" s="1">
        <v>110106</v>
      </c>
      <c r="AE3" s="1">
        <v>110180</v>
      </c>
      <c r="AF3" s="1">
        <v>110135</v>
      </c>
      <c r="AG3" s="128" t="s">
        <v>25</v>
      </c>
      <c r="AH3" s="128" t="s">
        <v>26</v>
      </c>
      <c r="AI3" s="109"/>
      <c r="AJ3" s="128" t="s">
        <v>27</v>
      </c>
      <c r="AK3" s="109"/>
      <c r="AL3" s="128" t="s">
        <v>28</v>
      </c>
      <c r="AM3" s="128" t="s">
        <v>29</v>
      </c>
      <c r="AN3" s="128" t="s">
        <v>30</v>
      </c>
    </row>
    <row r="4" s="1" customFormat="1" ht="67" customHeight="1" spans="2:42">
      <c r="B4" s="65" t="s">
        <v>31</v>
      </c>
      <c r="C4" s="65" t="s">
        <v>32</v>
      </c>
      <c r="D4" s="65" t="s">
        <v>33</v>
      </c>
      <c r="E4" s="3" t="s">
        <v>34</v>
      </c>
      <c r="F4" s="3" t="s">
        <v>35</v>
      </c>
      <c r="G4" s="3" t="s">
        <v>36</v>
      </c>
      <c r="H4" s="4" t="s">
        <v>37</v>
      </c>
      <c r="I4" s="4" t="s">
        <v>38</v>
      </c>
      <c r="J4" s="3" t="s">
        <v>39</v>
      </c>
      <c r="K4" s="3" t="s">
        <v>40</v>
      </c>
      <c r="L4" s="4" t="s">
        <v>41</v>
      </c>
      <c r="M4" s="4" t="s">
        <v>42</v>
      </c>
      <c r="N4" s="3" t="s">
        <v>43</v>
      </c>
      <c r="O4" s="4" t="s">
        <v>44</v>
      </c>
      <c r="P4" s="3" t="s">
        <v>45</v>
      </c>
      <c r="Q4" s="5" t="s">
        <v>46</v>
      </c>
      <c r="R4" s="3" t="s">
        <v>47</v>
      </c>
      <c r="S4" s="4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6" t="s">
        <v>55</v>
      </c>
      <c r="AA4" s="6" t="s">
        <v>56</v>
      </c>
      <c r="AB4" s="6" t="s">
        <v>57</v>
      </c>
      <c r="AC4" s="7" t="s">
        <v>58</v>
      </c>
      <c r="AD4" s="7" t="s">
        <v>59</v>
      </c>
      <c r="AE4" s="7" t="s">
        <v>60</v>
      </c>
      <c r="AF4" s="8" t="s">
        <v>61</v>
      </c>
      <c r="AG4" s="110" t="s">
        <v>62</v>
      </c>
      <c r="AH4" s="111" t="s">
        <v>63</v>
      </c>
      <c r="AI4" s="112" t="s">
        <v>64</v>
      </c>
      <c r="AJ4" s="110" t="s">
        <v>65</v>
      </c>
      <c r="AK4" s="111" t="s">
        <v>66</v>
      </c>
      <c r="AL4" s="113" t="s">
        <v>67</v>
      </c>
      <c r="AM4" s="114" t="s">
        <v>68</v>
      </c>
      <c r="AN4" s="110" t="s">
        <v>69</v>
      </c>
      <c r="AO4" s="11" t="s">
        <v>70</v>
      </c>
    </row>
    <row r="5" s="1" customFormat="1" ht="21" customHeight="1" spans="2:42">
      <c r="B5" s="65"/>
      <c r="C5" s="65"/>
      <c r="D5" s="65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  <c r="W5" s="14"/>
      <c r="X5" s="14"/>
      <c r="Y5" s="14"/>
      <c r="Z5" s="15"/>
      <c r="AA5" s="15"/>
      <c r="AB5" s="15"/>
      <c r="AC5" s="14"/>
      <c r="AD5" s="14"/>
      <c r="AE5" s="14"/>
      <c r="AF5" s="14"/>
      <c r="AG5" s="115" t="s">
        <v>71</v>
      </c>
      <c r="AH5" s="115" t="s">
        <v>72</v>
      </c>
      <c r="AI5" s="116" t="s">
        <v>73</v>
      </c>
      <c r="AJ5" s="115" t="s">
        <v>74</v>
      </c>
      <c r="AK5" s="117" t="s">
        <v>75</v>
      </c>
      <c r="AL5" s="115" t="s">
        <v>76</v>
      </c>
      <c r="AM5" s="115" t="s">
        <v>77</v>
      </c>
      <c r="AN5" s="115" t="s">
        <v>78</v>
      </c>
      <c r="AO5" s="18"/>
    </row>
    <row r="6" ht="14.25" spans="2:42">
      <c r="B6" s="65" t="s">
        <v>79</v>
      </c>
      <c r="C6" s="118" t="s">
        <v>80</v>
      </c>
      <c r="D6" s="65" t="s">
        <v>80</v>
      </c>
      <c r="E6" s="13"/>
      <c r="F6" s="13"/>
      <c r="G6" s="13"/>
      <c r="H6" s="13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>
        <v>879</v>
      </c>
      <c r="U6" s="14"/>
      <c r="V6" s="14"/>
      <c r="W6" s="14"/>
      <c r="X6" s="14">
        <v>39</v>
      </c>
      <c r="Y6" s="14">
        <v>648</v>
      </c>
      <c r="Z6" s="14"/>
      <c r="AA6" s="14"/>
      <c r="AB6" s="14"/>
      <c r="AC6" s="14"/>
      <c r="AD6" s="14">
        <v>340</v>
      </c>
      <c r="AE6" s="14"/>
      <c r="AF6" s="14"/>
      <c r="AG6" s="115"/>
      <c r="AH6" s="115">
        <v>0</v>
      </c>
      <c r="AI6" s="115"/>
      <c r="AJ6" s="115">
        <v>221</v>
      </c>
      <c r="AK6" s="115"/>
      <c r="AL6" s="115"/>
      <c r="AM6" s="115">
        <v>100</v>
      </c>
      <c r="AN6" s="115">
        <v>192</v>
      </c>
      <c r="AO6" s="119">
        <f t="shared" ref="AO6:AO69" si="0">SUM(E6:AN6)</f>
        <v>2419</v>
      </c>
      <c r="AP6" s="1">
        <f>SUM(AO6:AO81,AO100:AO107)</f>
        <v>43317.077</v>
      </c>
    </row>
    <row r="7" ht="14.25" spans="2:42">
      <c r="B7" s="65" t="s">
        <v>81</v>
      </c>
      <c r="C7" s="118" t="s">
        <v>82</v>
      </c>
      <c r="D7" s="65" t="s">
        <v>82</v>
      </c>
      <c r="E7" s="13"/>
      <c r="F7" s="13"/>
      <c r="G7" s="13"/>
      <c r="H7" s="13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>
        <v>377</v>
      </c>
      <c r="U7" s="14"/>
      <c r="V7" s="14"/>
      <c r="W7" s="14"/>
      <c r="X7" s="14">
        <v>19.8</v>
      </c>
      <c r="Y7" s="14">
        <v>324</v>
      </c>
      <c r="Z7" s="14"/>
      <c r="AA7" s="14"/>
      <c r="AB7" s="14"/>
      <c r="AC7" s="14"/>
      <c r="AD7" s="14">
        <v>0</v>
      </c>
      <c r="AE7" s="14"/>
      <c r="AF7" s="14"/>
      <c r="AG7" s="115"/>
      <c r="AH7" s="115">
        <v>0</v>
      </c>
      <c r="AI7" s="115"/>
      <c r="AJ7" s="115">
        <v>112.2</v>
      </c>
      <c r="AK7" s="115"/>
      <c r="AL7" s="115"/>
      <c r="AM7" s="115">
        <v>0</v>
      </c>
      <c r="AN7" s="115">
        <v>0</v>
      </c>
      <c r="AO7" s="119">
        <f t="shared" si="0"/>
        <v>833</v>
      </c>
    </row>
    <row r="8" ht="14.25" spans="2:42">
      <c r="B8" s="65" t="s">
        <v>83</v>
      </c>
      <c r="C8" s="118" t="s">
        <v>84</v>
      </c>
      <c r="D8" s="65" t="s">
        <v>84</v>
      </c>
      <c r="E8" s="21"/>
      <c r="F8" s="21">
        <v>4950</v>
      </c>
      <c r="G8" s="21"/>
      <c r="H8" s="21">
        <v>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3">
        <v>0</v>
      </c>
      <c r="U8" s="14"/>
      <c r="V8" s="14"/>
      <c r="W8" s="14"/>
      <c r="X8" s="14">
        <v>0</v>
      </c>
      <c r="Y8" s="14">
        <v>0</v>
      </c>
      <c r="Z8" s="14"/>
      <c r="AA8" s="14"/>
      <c r="AB8" s="14"/>
      <c r="AC8" s="14"/>
      <c r="AD8" s="14">
        <v>0</v>
      </c>
      <c r="AE8" s="14"/>
      <c r="AF8" s="14">
        <v>590</v>
      </c>
      <c r="AG8" s="115"/>
      <c r="AH8" s="115">
        <v>0</v>
      </c>
      <c r="AI8" s="115"/>
      <c r="AJ8" s="115">
        <v>0</v>
      </c>
      <c r="AK8" s="115"/>
      <c r="AL8" s="115">
        <v>115</v>
      </c>
      <c r="AM8" s="115">
        <v>0</v>
      </c>
      <c r="AN8" s="115">
        <v>0</v>
      </c>
      <c r="AO8" s="119">
        <f t="shared" si="0"/>
        <v>5655</v>
      </c>
    </row>
    <row r="9" ht="14.25" spans="2:42">
      <c r="B9" s="65" t="s">
        <v>85</v>
      </c>
      <c r="C9" s="118" t="s">
        <v>86</v>
      </c>
      <c r="D9" s="65" t="s">
        <v>86</v>
      </c>
      <c r="E9" s="21"/>
      <c r="F9" s="21"/>
      <c r="G9" s="21"/>
      <c r="H9" s="21">
        <v>197.6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15"/>
      <c r="AH9" s="115">
        <v>372.4</v>
      </c>
      <c r="AI9" s="115"/>
      <c r="AJ9" s="115"/>
      <c r="AK9" s="115"/>
      <c r="AL9" s="115"/>
      <c r="AM9" s="115"/>
      <c r="AN9" s="115"/>
      <c r="AO9" s="119">
        <f t="shared" si="0"/>
        <v>570</v>
      </c>
    </row>
    <row r="10" ht="14.25" spans="2:42">
      <c r="B10" s="65" t="s">
        <v>87</v>
      </c>
      <c r="C10" s="118" t="s">
        <v>88</v>
      </c>
      <c r="D10" s="65" t="s">
        <v>89</v>
      </c>
      <c r="E10" s="13"/>
      <c r="F10" s="13"/>
      <c r="G10" s="13"/>
      <c r="H10" s="13"/>
      <c r="I10" s="13"/>
      <c r="J10" s="13"/>
      <c r="K10" s="13"/>
      <c r="L10" s="13"/>
      <c r="M10" s="13">
        <v>62</v>
      </c>
      <c r="N10" s="13"/>
      <c r="O10" s="13"/>
      <c r="P10" s="13"/>
      <c r="Q10" s="13"/>
      <c r="R10" s="13"/>
      <c r="S10" s="13"/>
      <c r="T10" s="13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15"/>
      <c r="AH10" s="115"/>
      <c r="AI10" s="115"/>
      <c r="AJ10" s="115"/>
      <c r="AK10" s="115"/>
      <c r="AL10" s="115"/>
      <c r="AM10" s="115"/>
      <c r="AN10" s="115"/>
      <c r="AO10" s="119">
        <f t="shared" si="0"/>
        <v>62</v>
      </c>
    </row>
    <row r="11" ht="14.25" spans="2:42">
      <c r="B11" s="65" t="s">
        <v>90</v>
      </c>
      <c r="C11" s="118" t="s">
        <v>91</v>
      </c>
      <c r="D11" s="65" t="s">
        <v>91</v>
      </c>
      <c r="E11" s="24"/>
      <c r="F11" s="24">
        <v>0</v>
      </c>
      <c r="G11" s="24"/>
      <c r="H11" s="24">
        <v>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3">
        <v>0</v>
      </c>
      <c r="U11" s="14"/>
      <c r="V11" s="14"/>
      <c r="W11" s="14"/>
      <c r="X11" s="14">
        <v>0</v>
      </c>
      <c r="Y11" s="14">
        <v>0</v>
      </c>
      <c r="Z11" s="14"/>
      <c r="AA11" s="14"/>
      <c r="AB11" s="14"/>
      <c r="AC11" s="14">
        <v>300</v>
      </c>
      <c r="AD11" s="14">
        <v>0</v>
      </c>
      <c r="AE11" s="14"/>
      <c r="AF11" s="14">
        <v>0</v>
      </c>
      <c r="AG11" s="115"/>
      <c r="AH11" s="115">
        <v>0</v>
      </c>
      <c r="AI11" s="115"/>
      <c r="AJ11" s="115">
        <v>0</v>
      </c>
      <c r="AK11" s="115"/>
      <c r="AL11" s="115">
        <v>0</v>
      </c>
      <c r="AM11" s="115">
        <v>0</v>
      </c>
      <c r="AN11" s="115">
        <v>162</v>
      </c>
      <c r="AO11" s="119">
        <f t="shared" si="0"/>
        <v>462</v>
      </c>
    </row>
    <row r="12" ht="14.25" spans="2:42">
      <c r="B12" s="65" t="s">
        <v>92</v>
      </c>
      <c r="C12" s="118" t="s">
        <v>93</v>
      </c>
      <c r="D12" s="65" t="s">
        <v>93</v>
      </c>
      <c r="E12" s="24"/>
      <c r="F12" s="24">
        <v>0</v>
      </c>
      <c r="G12" s="24"/>
      <c r="H12" s="24">
        <v>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3">
        <v>0</v>
      </c>
      <c r="U12" s="14"/>
      <c r="V12" s="14"/>
      <c r="W12" s="14"/>
      <c r="X12" s="14">
        <v>0</v>
      </c>
      <c r="Y12" s="14">
        <v>0</v>
      </c>
      <c r="Z12" s="14"/>
      <c r="AA12" s="14"/>
      <c r="AB12" s="14"/>
      <c r="AC12" s="14">
        <v>0</v>
      </c>
      <c r="AD12" s="14">
        <v>0</v>
      </c>
      <c r="AE12" s="14"/>
      <c r="AF12" s="14">
        <v>0</v>
      </c>
      <c r="AG12" s="115"/>
      <c r="AH12" s="115">
        <v>0</v>
      </c>
      <c r="AI12" s="115"/>
      <c r="AJ12" s="115">
        <v>0</v>
      </c>
      <c r="AK12" s="115"/>
      <c r="AL12" s="115">
        <v>0</v>
      </c>
      <c r="AM12" s="115">
        <v>0</v>
      </c>
      <c r="AN12" s="115">
        <v>206</v>
      </c>
      <c r="AO12" s="119">
        <f t="shared" si="0"/>
        <v>206</v>
      </c>
    </row>
    <row r="13" ht="14.25" spans="2:42">
      <c r="B13" s="65" t="s">
        <v>94</v>
      </c>
      <c r="C13" s="118" t="s">
        <v>95</v>
      </c>
      <c r="D13" s="65" t="s">
        <v>95</v>
      </c>
      <c r="E13" s="24">
        <v>502.5</v>
      </c>
      <c r="F13" s="24">
        <v>0</v>
      </c>
      <c r="G13" s="24"/>
      <c r="H13" s="24">
        <v>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3">
        <v>0</v>
      </c>
      <c r="U13" s="14"/>
      <c r="V13" s="14"/>
      <c r="W13" s="14"/>
      <c r="X13" s="14">
        <v>0</v>
      </c>
      <c r="Y13" s="14">
        <v>0</v>
      </c>
      <c r="Z13" s="14"/>
      <c r="AA13" s="14"/>
      <c r="AB13" s="14"/>
      <c r="AC13" s="14">
        <v>0</v>
      </c>
      <c r="AD13" s="14">
        <v>145.8</v>
      </c>
      <c r="AE13" s="14"/>
      <c r="AF13" s="14">
        <v>0</v>
      </c>
      <c r="AG13" s="115">
        <v>167.5</v>
      </c>
      <c r="AH13" s="115">
        <v>0</v>
      </c>
      <c r="AI13" s="115"/>
      <c r="AJ13" s="115">
        <v>0</v>
      </c>
      <c r="AK13" s="115"/>
      <c r="AL13" s="115">
        <v>0</v>
      </c>
      <c r="AM13" s="115">
        <v>36.5</v>
      </c>
      <c r="AN13" s="115">
        <v>0</v>
      </c>
      <c r="AO13" s="119">
        <f t="shared" si="0"/>
        <v>852.3</v>
      </c>
    </row>
    <row r="14" ht="14.25" spans="2:42">
      <c r="B14" s="65" t="s">
        <v>96</v>
      </c>
      <c r="C14" s="118" t="s">
        <v>97</v>
      </c>
      <c r="D14" s="65" t="s">
        <v>97</v>
      </c>
      <c r="E14" s="24">
        <v>0</v>
      </c>
      <c r="F14" s="24">
        <v>0</v>
      </c>
      <c r="G14" s="24"/>
      <c r="H14" s="24">
        <v>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3">
        <v>0</v>
      </c>
      <c r="U14" s="14"/>
      <c r="V14" s="14"/>
      <c r="W14" s="14"/>
      <c r="X14" s="14">
        <v>23.4</v>
      </c>
      <c r="Y14" s="14">
        <v>274</v>
      </c>
      <c r="Z14" s="14"/>
      <c r="AA14" s="14"/>
      <c r="AB14" s="14"/>
      <c r="AC14" s="14">
        <v>0</v>
      </c>
      <c r="AD14" s="14">
        <v>0</v>
      </c>
      <c r="AE14" s="14"/>
      <c r="AF14" s="14">
        <v>0</v>
      </c>
      <c r="AG14" s="115">
        <v>0</v>
      </c>
      <c r="AH14" s="115">
        <v>0</v>
      </c>
      <c r="AI14" s="115"/>
      <c r="AJ14" s="115">
        <v>152.6</v>
      </c>
      <c r="AK14" s="115"/>
      <c r="AL14" s="115">
        <v>0</v>
      </c>
      <c r="AM14" s="115">
        <v>0</v>
      </c>
      <c r="AN14" s="115">
        <v>0</v>
      </c>
      <c r="AO14" s="119">
        <f t="shared" si="0"/>
        <v>450</v>
      </c>
    </row>
    <row r="15" ht="14.25" spans="2:42">
      <c r="B15" s="65" t="s">
        <v>98</v>
      </c>
      <c r="C15" s="118" t="s">
        <v>99</v>
      </c>
      <c r="D15" s="65" t="s">
        <v>99</v>
      </c>
      <c r="E15" s="24">
        <v>0</v>
      </c>
      <c r="F15" s="24">
        <v>0</v>
      </c>
      <c r="G15" s="24">
        <v>870</v>
      </c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3">
        <v>0</v>
      </c>
      <c r="U15" s="14"/>
      <c r="V15" s="14"/>
      <c r="W15" s="14"/>
      <c r="X15" s="14">
        <v>0</v>
      </c>
      <c r="Y15" s="14">
        <v>0</v>
      </c>
      <c r="Z15" s="14"/>
      <c r="AA15" s="14"/>
      <c r="AB15" s="14"/>
      <c r="AC15" s="14">
        <v>0</v>
      </c>
      <c r="AD15" s="14">
        <v>0</v>
      </c>
      <c r="AE15" s="14"/>
      <c r="AF15" s="14">
        <v>0</v>
      </c>
      <c r="AG15" s="115">
        <v>0</v>
      </c>
      <c r="AH15" s="115">
        <v>0</v>
      </c>
      <c r="AI15" s="115"/>
      <c r="AJ15" s="115">
        <v>0</v>
      </c>
      <c r="AK15" s="115"/>
      <c r="AL15" s="115">
        <v>0</v>
      </c>
      <c r="AM15" s="115">
        <v>0</v>
      </c>
      <c r="AN15" s="115">
        <v>0</v>
      </c>
      <c r="AO15" s="119">
        <f t="shared" si="0"/>
        <v>870</v>
      </c>
    </row>
    <row r="16" ht="14.25" spans="2:42">
      <c r="B16" s="65" t="s">
        <v>100</v>
      </c>
      <c r="C16" s="118" t="s">
        <v>101</v>
      </c>
      <c r="D16" s="65" t="s">
        <v>101</v>
      </c>
      <c r="E16" s="24">
        <v>0</v>
      </c>
      <c r="F16" s="24">
        <v>0</v>
      </c>
      <c r="G16" s="24">
        <v>0</v>
      </c>
      <c r="H16" s="24">
        <v>0</v>
      </c>
      <c r="I16" s="24"/>
      <c r="J16" s="24"/>
      <c r="K16" s="24"/>
      <c r="L16" s="24"/>
      <c r="M16" s="24">
        <v>488</v>
      </c>
      <c r="N16" s="24">
        <v>3052</v>
      </c>
      <c r="O16" s="24"/>
      <c r="P16" s="24"/>
      <c r="Q16" s="24"/>
      <c r="R16" s="24"/>
      <c r="S16" s="24"/>
      <c r="T16" s="13">
        <v>0</v>
      </c>
      <c r="U16" s="14"/>
      <c r="V16" s="14"/>
      <c r="W16" s="14"/>
      <c r="X16" s="14">
        <v>0</v>
      </c>
      <c r="Y16" s="14">
        <v>0</v>
      </c>
      <c r="Z16" s="14"/>
      <c r="AA16" s="14"/>
      <c r="AB16" s="14"/>
      <c r="AC16" s="14">
        <v>0</v>
      </c>
      <c r="AD16" s="14">
        <v>0</v>
      </c>
      <c r="AE16" s="14"/>
      <c r="AF16" s="14">
        <v>0</v>
      </c>
      <c r="AG16" s="115">
        <v>0</v>
      </c>
      <c r="AH16" s="115">
        <v>0</v>
      </c>
      <c r="AI16" s="115"/>
      <c r="AJ16" s="115">
        <v>0</v>
      </c>
      <c r="AK16" s="115"/>
      <c r="AL16" s="115">
        <v>0</v>
      </c>
      <c r="AM16" s="115">
        <v>0</v>
      </c>
      <c r="AN16" s="115">
        <v>0</v>
      </c>
      <c r="AO16" s="119">
        <f t="shared" si="0"/>
        <v>3540</v>
      </c>
    </row>
    <row r="17" ht="14.25" spans="2:41">
      <c r="B17" s="65" t="s">
        <v>102</v>
      </c>
      <c r="C17" s="118" t="s">
        <v>103</v>
      </c>
      <c r="D17" s="65" t="s">
        <v>103</v>
      </c>
      <c r="E17" s="24">
        <v>0</v>
      </c>
      <c r="F17" s="24">
        <v>0</v>
      </c>
      <c r="G17" s="24"/>
      <c r="H17" s="24">
        <v>0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13">
        <v>0</v>
      </c>
      <c r="U17" s="14"/>
      <c r="V17" s="14"/>
      <c r="W17" s="14"/>
      <c r="X17" s="14">
        <v>0</v>
      </c>
      <c r="Y17" s="14">
        <v>0</v>
      </c>
      <c r="Z17" s="14"/>
      <c r="AA17" s="14"/>
      <c r="AB17" s="14"/>
      <c r="AC17" s="14">
        <v>0</v>
      </c>
      <c r="AD17" s="14">
        <v>0</v>
      </c>
      <c r="AE17" s="14"/>
      <c r="AF17" s="14">
        <v>0</v>
      </c>
      <c r="AG17" s="115">
        <v>0</v>
      </c>
      <c r="AH17" s="115">
        <v>0</v>
      </c>
      <c r="AI17" s="120">
        <v>118</v>
      </c>
      <c r="AJ17" s="115">
        <v>0</v>
      </c>
      <c r="AK17" s="115"/>
      <c r="AL17" s="115">
        <v>0</v>
      </c>
      <c r="AM17" s="115">
        <v>0</v>
      </c>
      <c r="AN17" s="115">
        <v>0</v>
      </c>
      <c r="AO17" s="119">
        <f t="shared" si="0"/>
        <v>118</v>
      </c>
    </row>
    <row r="18" ht="14.25" spans="2:41">
      <c r="B18" s="118" t="s">
        <v>104</v>
      </c>
      <c r="C18" s="118" t="s">
        <v>105</v>
      </c>
      <c r="D18" s="65" t="s">
        <v>106</v>
      </c>
      <c r="E18" s="24">
        <v>0</v>
      </c>
      <c r="F18" s="24">
        <v>0</v>
      </c>
      <c r="G18" s="24">
        <v>0</v>
      </c>
      <c r="H18" s="24">
        <v>0</v>
      </c>
      <c r="I18" s="24"/>
      <c r="J18" s="24"/>
      <c r="K18" s="24"/>
      <c r="L18" s="24"/>
      <c r="M18" s="24">
        <v>62</v>
      </c>
      <c r="N18" s="24"/>
      <c r="O18" s="24"/>
      <c r="P18" s="24"/>
      <c r="Q18" s="24"/>
      <c r="R18" s="24"/>
      <c r="S18" s="24"/>
      <c r="T18" s="13">
        <v>0</v>
      </c>
      <c r="U18" s="14"/>
      <c r="V18" s="14"/>
      <c r="W18" s="14"/>
      <c r="X18" s="14">
        <v>0</v>
      </c>
      <c r="Y18" s="14">
        <v>0</v>
      </c>
      <c r="Z18" s="14"/>
      <c r="AA18" s="14"/>
      <c r="AB18" s="14"/>
      <c r="AC18" s="14">
        <v>0</v>
      </c>
      <c r="AD18" s="14">
        <v>0</v>
      </c>
      <c r="AE18" s="14"/>
      <c r="AF18" s="14">
        <v>0</v>
      </c>
      <c r="AG18" s="115">
        <v>0</v>
      </c>
      <c r="AH18" s="115">
        <v>0</v>
      </c>
      <c r="AI18" s="115"/>
      <c r="AJ18" s="115">
        <v>0</v>
      </c>
      <c r="AK18" s="115"/>
      <c r="AL18" s="115">
        <v>0</v>
      </c>
      <c r="AM18" s="115">
        <v>0</v>
      </c>
      <c r="AN18" s="115">
        <v>0</v>
      </c>
      <c r="AO18" s="119">
        <f t="shared" si="0"/>
        <v>62</v>
      </c>
    </row>
    <row r="19" ht="14.25" spans="2:41">
      <c r="B19" s="118" t="s">
        <v>107</v>
      </c>
      <c r="C19" s="118" t="s">
        <v>108</v>
      </c>
      <c r="D19" s="65" t="s">
        <v>108</v>
      </c>
      <c r="E19" s="24">
        <v>0</v>
      </c>
      <c r="F19" s="24">
        <v>0</v>
      </c>
      <c r="G19" s="24">
        <v>0</v>
      </c>
      <c r="H19" s="24">
        <v>0</v>
      </c>
      <c r="I19" s="24"/>
      <c r="J19" s="24"/>
      <c r="K19" s="24"/>
      <c r="L19" s="24"/>
      <c r="M19" s="24">
        <v>7.5</v>
      </c>
      <c r="N19" s="24">
        <v>4</v>
      </c>
      <c r="O19" s="24"/>
      <c r="P19" s="24"/>
      <c r="Q19" s="24"/>
      <c r="R19" s="24"/>
      <c r="S19" s="24"/>
      <c r="T19" s="13">
        <v>10</v>
      </c>
      <c r="U19" s="14"/>
      <c r="V19" s="14"/>
      <c r="W19" s="14"/>
      <c r="X19" s="14">
        <v>0.21</v>
      </c>
      <c r="Y19" s="14">
        <v>2.1</v>
      </c>
      <c r="Z19" s="14"/>
      <c r="AA19" s="14"/>
      <c r="AB19" s="14"/>
      <c r="AC19" s="14">
        <v>0</v>
      </c>
      <c r="AD19" s="14">
        <v>0</v>
      </c>
      <c r="AE19" s="14"/>
      <c r="AF19" s="14">
        <v>0</v>
      </c>
      <c r="AG19" s="115">
        <v>0</v>
      </c>
      <c r="AH19" s="115">
        <v>0</v>
      </c>
      <c r="AI19" s="115"/>
      <c r="AJ19" s="115">
        <v>1.19</v>
      </c>
      <c r="AK19" s="115"/>
      <c r="AL19" s="115">
        <v>0</v>
      </c>
      <c r="AM19" s="115">
        <v>0</v>
      </c>
      <c r="AN19" s="115">
        <v>0</v>
      </c>
      <c r="AO19" s="119">
        <f t="shared" si="0"/>
        <v>25</v>
      </c>
    </row>
    <row r="20" ht="14.25" spans="2:41">
      <c r="B20" s="118" t="s">
        <v>109</v>
      </c>
      <c r="C20" s="118" t="s">
        <v>110</v>
      </c>
      <c r="D20" s="65" t="s">
        <v>110</v>
      </c>
      <c r="E20" s="34">
        <v>0</v>
      </c>
      <c r="F20" s="34">
        <v>0</v>
      </c>
      <c r="G20" s="34">
        <v>0</v>
      </c>
      <c r="H20" s="34">
        <v>0</v>
      </c>
      <c r="I20" s="34"/>
      <c r="J20" s="34"/>
      <c r="K20" s="34"/>
      <c r="L20" s="34"/>
      <c r="M20" s="34">
        <v>0</v>
      </c>
      <c r="N20" s="34">
        <v>0</v>
      </c>
      <c r="O20" s="34"/>
      <c r="P20" s="34"/>
      <c r="Q20" s="34"/>
      <c r="R20" s="34"/>
      <c r="S20" s="34"/>
      <c r="T20" s="13">
        <v>0.3</v>
      </c>
      <c r="U20" s="14"/>
      <c r="V20" s="14"/>
      <c r="W20" s="14"/>
      <c r="X20" s="14">
        <v>0.12</v>
      </c>
      <c r="Y20" s="14">
        <v>0.137</v>
      </c>
      <c r="Z20" s="14"/>
      <c r="AA20" s="14"/>
      <c r="AB20" s="14"/>
      <c r="AC20" s="14">
        <v>0</v>
      </c>
      <c r="AD20" s="14">
        <v>0</v>
      </c>
      <c r="AE20" s="14"/>
      <c r="AF20" s="14">
        <v>0</v>
      </c>
      <c r="AG20" s="115">
        <v>0</v>
      </c>
      <c r="AH20" s="115">
        <v>0</v>
      </c>
      <c r="AI20" s="115"/>
      <c r="AJ20" s="115">
        <v>0</v>
      </c>
      <c r="AK20" s="115"/>
      <c r="AL20" s="115">
        <v>0</v>
      </c>
      <c r="AM20" s="115">
        <v>0</v>
      </c>
      <c r="AN20" s="115">
        <v>0</v>
      </c>
      <c r="AO20" s="119">
        <f t="shared" si="0"/>
        <v>0.557</v>
      </c>
    </row>
    <row r="21" ht="14.25" spans="2:41">
      <c r="B21" s="65" t="s">
        <v>111</v>
      </c>
      <c r="C21" s="118" t="s">
        <v>112</v>
      </c>
      <c r="D21" s="65" t="s">
        <v>113</v>
      </c>
      <c r="E21" s="43"/>
      <c r="F21" s="43"/>
      <c r="G21" s="43">
        <v>0</v>
      </c>
      <c r="H21" s="43">
        <v>0</v>
      </c>
      <c r="I21" s="43"/>
      <c r="J21" s="43"/>
      <c r="K21" s="43"/>
      <c r="L21" s="43"/>
      <c r="M21" s="43">
        <v>0</v>
      </c>
      <c r="N21" s="43">
        <v>0</v>
      </c>
      <c r="O21" s="43"/>
      <c r="P21" s="43"/>
      <c r="Q21" s="43"/>
      <c r="R21" s="43"/>
      <c r="S21" s="43"/>
      <c r="T21" s="34">
        <v>0</v>
      </c>
      <c r="U21" s="43"/>
      <c r="V21" s="43"/>
      <c r="W21" s="43"/>
      <c r="X21" s="43"/>
      <c r="Y21" s="43"/>
      <c r="Z21" s="43">
        <v>0</v>
      </c>
      <c r="AA21" s="43">
        <v>0</v>
      </c>
      <c r="AB21" s="43">
        <v>0.3</v>
      </c>
      <c r="AC21" s="43"/>
      <c r="AD21" s="43"/>
      <c r="AE21" s="43"/>
      <c r="AF21" s="43">
        <v>0</v>
      </c>
      <c r="AG21" s="121"/>
      <c r="AH21" s="121">
        <v>0</v>
      </c>
      <c r="AI21" s="121"/>
      <c r="AJ21" s="121"/>
      <c r="AK21" s="121"/>
      <c r="AL21" s="121">
        <v>0</v>
      </c>
      <c r="AM21" s="121"/>
      <c r="AN21" s="121"/>
      <c r="AO21" s="119">
        <f t="shared" si="0"/>
        <v>0.3</v>
      </c>
    </row>
    <row r="22" ht="14.25" spans="2:41">
      <c r="B22" s="65" t="s">
        <v>114</v>
      </c>
      <c r="C22" s="118" t="s">
        <v>115</v>
      </c>
      <c r="D22" s="65" t="s">
        <v>115</v>
      </c>
      <c r="E22" s="24">
        <v>0</v>
      </c>
      <c r="F22" s="24">
        <v>0</v>
      </c>
      <c r="G22" s="24">
        <v>40</v>
      </c>
      <c r="H22" s="24">
        <v>0</v>
      </c>
      <c r="I22" s="24"/>
      <c r="J22" s="24"/>
      <c r="K22" s="24"/>
      <c r="L22" s="24"/>
      <c r="M22" s="24">
        <v>240</v>
      </c>
      <c r="N22" s="24">
        <v>0</v>
      </c>
      <c r="O22" s="24"/>
      <c r="P22" s="24"/>
      <c r="Q22" s="24"/>
      <c r="R22" s="24"/>
      <c r="S22" s="24"/>
      <c r="T22" s="13">
        <v>0</v>
      </c>
      <c r="U22" s="14"/>
      <c r="V22" s="14"/>
      <c r="W22" s="14"/>
      <c r="X22" s="14">
        <v>0</v>
      </c>
      <c r="Y22" s="14">
        <v>0</v>
      </c>
      <c r="Z22" s="14"/>
      <c r="AA22" s="14"/>
      <c r="AB22" s="14"/>
      <c r="AC22" s="14">
        <v>0</v>
      </c>
      <c r="AD22" s="14">
        <v>0</v>
      </c>
      <c r="AE22" s="14"/>
      <c r="AF22" s="14">
        <v>0</v>
      </c>
      <c r="AG22" s="115">
        <v>0</v>
      </c>
      <c r="AH22" s="115">
        <v>0</v>
      </c>
      <c r="AI22" s="115"/>
      <c r="AJ22" s="115">
        <v>0</v>
      </c>
      <c r="AK22" s="115"/>
      <c r="AL22" s="115">
        <v>0</v>
      </c>
      <c r="AM22" s="115">
        <v>0</v>
      </c>
      <c r="AN22" s="115">
        <v>0</v>
      </c>
      <c r="AO22" s="119">
        <f t="shared" si="0"/>
        <v>280</v>
      </c>
    </row>
    <row r="23" ht="14.25" spans="2:41">
      <c r="B23" s="65" t="s">
        <v>116</v>
      </c>
      <c r="C23" s="118" t="s">
        <v>117</v>
      </c>
      <c r="D23" s="65" t="s">
        <v>117</v>
      </c>
      <c r="E23" s="24">
        <v>0</v>
      </c>
      <c r="F23" s="24">
        <v>0</v>
      </c>
      <c r="G23" s="24">
        <v>0</v>
      </c>
      <c r="H23" s="24">
        <v>0</v>
      </c>
      <c r="I23" s="24"/>
      <c r="J23" s="24"/>
      <c r="K23" s="24"/>
      <c r="L23" s="24"/>
      <c r="M23" s="24">
        <v>0</v>
      </c>
      <c r="N23" s="24">
        <v>0</v>
      </c>
      <c r="O23" s="24"/>
      <c r="P23" s="24"/>
      <c r="Q23" s="24"/>
      <c r="R23" s="24"/>
      <c r="S23" s="24">
        <v>1580</v>
      </c>
      <c r="T23" s="13">
        <v>0</v>
      </c>
      <c r="U23" s="14"/>
      <c r="V23" s="14"/>
      <c r="W23" s="14"/>
      <c r="X23" s="14">
        <v>0</v>
      </c>
      <c r="Y23" s="14">
        <v>0</v>
      </c>
      <c r="Z23" s="14"/>
      <c r="AA23" s="14"/>
      <c r="AB23" s="14"/>
      <c r="AC23" s="14">
        <v>0</v>
      </c>
      <c r="AD23" s="14">
        <v>0</v>
      </c>
      <c r="AE23" s="14"/>
      <c r="AF23" s="14">
        <v>0</v>
      </c>
      <c r="AG23" s="115">
        <v>0</v>
      </c>
      <c r="AH23" s="115">
        <v>0</v>
      </c>
      <c r="AI23" s="115"/>
      <c r="AJ23" s="115">
        <v>0</v>
      </c>
      <c r="AK23" s="115">
        <v>316</v>
      </c>
      <c r="AL23" s="115">
        <v>0</v>
      </c>
      <c r="AM23" s="115">
        <v>0</v>
      </c>
      <c r="AN23" s="115">
        <v>0</v>
      </c>
      <c r="AO23" s="119">
        <f t="shared" si="0"/>
        <v>1896</v>
      </c>
    </row>
    <row r="24" ht="14.25" spans="2:41">
      <c r="B24" s="65" t="s">
        <v>118</v>
      </c>
      <c r="C24" s="118" t="s">
        <v>119</v>
      </c>
      <c r="D24" s="65" t="s">
        <v>120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>
        <v>9.9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121"/>
      <c r="AH24" s="121"/>
      <c r="AI24" s="121"/>
      <c r="AJ24" s="121"/>
      <c r="AK24" s="121">
        <v>3.3</v>
      </c>
      <c r="AL24" s="121"/>
      <c r="AM24" s="121"/>
      <c r="AN24" s="121"/>
      <c r="AO24" s="119">
        <f t="shared" si="0"/>
        <v>13.2</v>
      </c>
    </row>
    <row r="25" ht="14.25" spans="2:41">
      <c r="B25" s="65" t="s">
        <v>121</v>
      </c>
      <c r="C25" s="118" t="s">
        <v>122</v>
      </c>
      <c r="D25" s="65" t="s">
        <v>122</v>
      </c>
      <c r="E25" s="34">
        <v>0</v>
      </c>
      <c r="F25" s="34">
        <v>0</v>
      </c>
      <c r="G25" s="34">
        <v>0</v>
      </c>
      <c r="H25" s="34">
        <v>0</v>
      </c>
      <c r="I25" s="34"/>
      <c r="J25" s="34"/>
      <c r="K25" s="34"/>
      <c r="L25" s="34"/>
      <c r="M25" s="34">
        <v>0</v>
      </c>
      <c r="N25" s="34">
        <v>0</v>
      </c>
      <c r="O25" s="34"/>
      <c r="P25" s="34"/>
      <c r="Q25" s="34"/>
      <c r="R25" s="34"/>
      <c r="S25" s="34"/>
      <c r="T25" s="13">
        <v>0</v>
      </c>
      <c r="U25" s="14"/>
      <c r="V25" s="14"/>
      <c r="W25" s="14"/>
      <c r="X25" s="14">
        <v>2.1</v>
      </c>
      <c r="Y25" s="14">
        <v>21</v>
      </c>
      <c r="Z25" s="14"/>
      <c r="AA25" s="14"/>
      <c r="AB25" s="14"/>
      <c r="AC25" s="14">
        <v>5.6</v>
      </c>
      <c r="AD25" s="14">
        <v>576</v>
      </c>
      <c r="AE25" s="14"/>
      <c r="AF25" s="14">
        <v>15</v>
      </c>
      <c r="AG25" s="115">
        <v>0</v>
      </c>
      <c r="AH25" s="115">
        <v>0</v>
      </c>
      <c r="AI25" s="115"/>
      <c r="AJ25" s="115">
        <v>11.9</v>
      </c>
      <c r="AK25" s="115"/>
      <c r="AL25" s="115">
        <v>3</v>
      </c>
      <c r="AM25" s="115">
        <v>180</v>
      </c>
      <c r="AN25" s="115">
        <v>48</v>
      </c>
      <c r="AO25" s="119">
        <f t="shared" si="0"/>
        <v>862.6</v>
      </c>
    </row>
    <row r="26" ht="14.25" spans="2:41">
      <c r="B26" s="65" t="s">
        <v>123</v>
      </c>
      <c r="C26" s="118" t="s">
        <v>124</v>
      </c>
      <c r="D26" s="65" t="s">
        <v>124</v>
      </c>
      <c r="E26" s="34">
        <v>0</v>
      </c>
      <c r="F26" s="34">
        <v>0</v>
      </c>
      <c r="G26" s="34">
        <v>0</v>
      </c>
      <c r="H26" s="34">
        <v>0</v>
      </c>
      <c r="I26" s="34"/>
      <c r="J26" s="34"/>
      <c r="K26" s="34"/>
      <c r="L26" s="34"/>
      <c r="M26" s="34">
        <v>0</v>
      </c>
      <c r="N26" s="34">
        <v>0</v>
      </c>
      <c r="O26" s="34"/>
      <c r="P26" s="34"/>
      <c r="Q26" s="34"/>
      <c r="R26" s="34"/>
      <c r="S26" s="34"/>
      <c r="T26" s="13">
        <v>0</v>
      </c>
      <c r="U26" s="14"/>
      <c r="V26" s="14"/>
      <c r="W26" s="14"/>
      <c r="X26" s="14">
        <v>0</v>
      </c>
      <c r="Y26" s="14">
        <v>0</v>
      </c>
      <c r="Z26" s="14">
        <v>149.5</v>
      </c>
      <c r="AA26" s="14">
        <v>156</v>
      </c>
      <c r="AB26" s="14">
        <v>620.5</v>
      </c>
      <c r="AC26" s="14">
        <v>0</v>
      </c>
      <c r="AD26" s="14">
        <v>0</v>
      </c>
      <c r="AE26" s="14"/>
      <c r="AF26" s="14">
        <v>0</v>
      </c>
      <c r="AG26" s="115">
        <v>0</v>
      </c>
      <c r="AH26" s="115">
        <v>0</v>
      </c>
      <c r="AI26" s="115"/>
      <c r="AJ26" s="115">
        <v>0</v>
      </c>
      <c r="AK26" s="115"/>
      <c r="AL26" s="115">
        <v>0</v>
      </c>
      <c r="AM26" s="115">
        <v>0</v>
      </c>
      <c r="AN26" s="115">
        <v>0</v>
      </c>
      <c r="AO26" s="119">
        <f t="shared" si="0"/>
        <v>926</v>
      </c>
    </row>
    <row r="27" ht="14.25" spans="2:41">
      <c r="B27" s="65" t="s">
        <v>125</v>
      </c>
      <c r="C27" s="118" t="s">
        <v>126</v>
      </c>
      <c r="D27" s="65" t="s">
        <v>127</v>
      </c>
      <c r="E27" s="34">
        <v>960</v>
      </c>
      <c r="F27" s="34">
        <v>0</v>
      </c>
      <c r="G27" s="34">
        <v>0</v>
      </c>
      <c r="H27" s="34">
        <v>0</v>
      </c>
      <c r="I27" s="34"/>
      <c r="J27" s="34"/>
      <c r="K27" s="34"/>
      <c r="L27" s="34"/>
      <c r="M27" s="34">
        <v>640</v>
      </c>
      <c r="N27" s="34">
        <v>40</v>
      </c>
      <c r="O27" s="34"/>
      <c r="P27" s="34"/>
      <c r="Q27" s="34"/>
      <c r="R27" s="34"/>
      <c r="S27" s="34"/>
      <c r="T27" s="13">
        <v>210</v>
      </c>
      <c r="U27" s="14"/>
      <c r="V27" s="14"/>
      <c r="W27" s="14"/>
      <c r="X27" s="14">
        <v>0</v>
      </c>
      <c r="Y27" s="14">
        <v>0</v>
      </c>
      <c r="Z27" s="14"/>
      <c r="AA27" s="14"/>
      <c r="AB27" s="14"/>
      <c r="AC27" s="14">
        <v>0</v>
      </c>
      <c r="AD27" s="14">
        <v>0</v>
      </c>
      <c r="AE27" s="14"/>
      <c r="AF27" s="14">
        <v>0</v>
      </c>
      <c r="AG27" s="115">
        <v>0</v>
      </c>
      <c r="AH27" s="115">
        <v>0</v>
      </c>
      <c r="AI27" s="115"/>
      <c r="AJ27" s="115">
        <v>0</v>
      </c>
      <c r="AK27" s="115"/>
      <c r="AL27" s="115">
        <v>0</v>
      </c>
      <c r="AM27" s="115">
        <v>0</v>
      </c>
      <c r="AN27" s="115">
        <v>0</v>
      </c>
      <c r="AO27" s="119">
        <f t="shared" si="0"/>
        <v>1850</v>
      </c>
    </row>
    <row r="28" ht="14.25" spans="2:41">
      <c r="B28" s="65" t="s">
        <v>128</v>
      </c>
      <c r="C28" s="118" t="s">
        <v>129</v>
      </c>
      <c r="D28" s="65" t="s">
        <v>130</v>
      </c>
      <c r="E28" s="34"/>
      <c r="F28" s="34"/>
      <c r="G28" s="34">
        <v>0</v>
      </c>
      <c r="H28" s="34">
        <v>0</v>
      </c>
      <c r="I28" s="34"/>
      <c r="J28" s="34"/>
      <c r="K28" s="34"/>
      <c r="L28" s="34"/>
      <c r="M28" s="34">
        <v>0</v>
      </c>
      <c r="N28" s="34">
        <v>0</v>
      </c>
      <c r="O28" s="34"/>
      <c r="P28" s="34"/>
      <c r="Q28" s="34"/>
      <c r="R28" s="34"/>
      <c r="S28" s="34"/>
      <c r="T28" s="34">
        <v>0</v>
      </c>
      <c r="U28" s="43"/>
      <c r="V28" s="43"/>
      <c r="W28" s="43"/>
      <c r="X28" s="43"/>
      <c r="Y28" s="43"/>
      <c r="Z28" s="43">
        <v>0</v>
      </c>
      <c r="AA28" s="43">
        <v>150</v>
      </c>
      <c r="AB28" s="43">
        <v>0</v>
      </c>
      <c r="AC28" s="43"/>
      <c r="AD28" s="43"/>
      <c r="AE28" s="43"/>
      <c r="AF28" s="43">
        <v>0</v>
      </c>
      <c r="AG28" s="121"/>
      <c r="AH28" s="121">
        <v>0</v>
      </c>
      <c r="AI28" s="121"/>
      <c r="AJ28" s="121"/>
      <c r="AK28" s="121"/>
      <c r="AL28" s="121">
        <v>0</v>
      </c>
      <c r="AM28" s="121"/>
      <c r="AN28" s="121"/>
      <c r="AO28" s="119">
        <f t="shared" si="0"/>
        <v>150</v>
      </c>
    </row>
    <row r="29" ht="14.25" spans="2:41">
      <c r="B29" s="65" t="s">
        <v>131</v>
      </c>
      <c r="C29" s="118" t="s">
        <v>132</v>
      </c>
      <c r="D29" s="65" t="s">
        <v>133</v>
      </c>
      <c r="E29" s="34"/>
      <c r="F29" s="34">
        <v>0</v>
      </c>
      <c r="G29" s="34">
        <v>0</v>
      </c>
      <c r="H29" s="34">
        <v>0</v>
      </c>
      <c r="I29" s="34"/>
      <c r="J29" s="34"/>
      <c r="K29" s="34"/>
      <c r="L29" s="34"/>
      <c r="M29" s="34">
        <v>0</v>
      </c>
      <c r="N29" s="34">
        <v>0</v>
      </c>
      <c r="O29" s="34"/>
      <c r="P29" s="34"/>
      <c r="Q29" s="34"/>
      <c r="R29" s="34"/>
      <c r="S29" s="34"/>
      <c r="T29" s="34">
        <v>0</v>
      </c>
      <c r="U29" s="14"/>
      <c r="V29" s="14"/>
      <c r="W29" s="14"/>
      <c r="X29" s="14"/>
      <c r="Y29" s="14"/>
      <c r="Z29" s="14"/>
      <c r="AA29" s="14"/>
      <c r="AB29" s="14">
        <v>955</v>
      </c>
      <c r="AC29" s="14"/>
      <c r="AD29" s="14"/>
      <c r="AE29" s="14"/>
      <c r="AF29" s="14">
        <v>0</v>
      </c>
      <c r="AG29" s="115"/>
      <c r="AH29" s="115">
        <v>0</v>
      </c>
      <c r="AI29" s="115"/>
      <c r="AJ29" s="115"/>
      <c r="AK29" s="115"/>
      <c r="AL29" s="115">
        <v>0</v>
      </c>
      <c r="AM29" s="115"/>
      <c r="AN29" s="115"/>
      <c r="AO29" s="119">
        <f t="shared" si="0"/>
        <v>955</v>
      </c>
    </row>
    <row r="30" ht="14.25" spans="2:41">
      <c r="B30" s="118" t="s">
        <v>134</v>
      </c>
      <c r="C30" s="118" t="s">
        <v>135</v>
      </c>
      <c r="D30" s="65" t="s">
        <v>136</v>
      </c>
      <c r="E30" s="34"/>
      <c r="F30" s="34"/>
      <c r="G30" s="34">
        <v>0</v>
      </c>
      <c r="H30" s="34">
        <v>0</v>
      </c>
      <c r="I30" s="34"/>
      <c r="J30" s="34"/>
      <c r="K30" s="34"/>
      <c r="L30" s="34"/>
      <c r="M30" s="34">
        <v>0</v>
      </c>
      <c r="N30" s="34">
        <v>0</v>
      </c>
      <c r="O30" s="34"/>
      <c r="P30" s="34"/>
      <c r="Q30" s="34"/>
      <c r="R30" s="34"/>
      <c r="S30" s="34"/>
      <c r="T30" s="34">
        <v>0</v>
      </c>
      <c r="U30" s="43"/>
      <c r="V30" s="43"/>
      <c r="W30" s="43"/>
      <c r="X30" s="43"/>
      <c r="Y30" s="43"/>
      <c r="Z30" s="43">
        <v>150</v>
      </c>
      <c r="AA30" s="43">
        <v>0</v>
      </c>
      <c r="AB30" s="43">
        <v>0</v>
      </c>
      <c r="AC30" s="43"/>
      <c r="AD30" s="43"/>
      <c r="AE30" s="43"/>
      <c r="AF30" s="43">
        <v>0</v>
      </c>
      <c r="AG30" s="121"/>
      <c r="AH30" s="121">
        <v>0</v>
      </c>
      <c r="AI30" s="121"/>
      <c r="AJ30" s="121"/>
      <c r="AK30" s="121"/>
      <c r="AL30" s="121">
        <v>0</v>
      </c>
      <c r="AM30" s="121"/>
      <c r="AN30" s="121"/>
      <c r="AO30" s="119">
        <f t="shared" si="0"/>
        <v>150</v>
      </c>
    </row>
    <row r="31" ht="14.25" spans="2:41">
      <c r="B31" s="65" t="s">
        <v>137</v>
      </c>
      <c r="C31" s="118" t="s">
        <v>138</v>
      </c>
      <c r="D31" s="65" t="s">
        <v>139</v>
      </c>
      <c r="E31" s="34">
        <v>480</v>
      </c>
      <c r="F31" s="34">
        <v>660</v>
      </c>
      <c r="G31" s="34">
        <v>70</v>
      </c>
      <c r="H31" s="34">
        <v>0</v>
      </c>
      <c r="I31" s="34"/>
      <c r="J31" s="34"/>
      <c r="K31" s="34"/>
      <c r="L31" s="34"/>
      <c r="M31" s="34">
        <v>280</v>
      </c>
      <c r="N31" s="34">
        <v>0</v>
      </c>
      <c r="O31" s="34"/>
      <c r="P31" s="34"/>
      <c r="Q31" s="34"/>
      <c r="R31" s="34"/>
      <c r="S31" s="34"/>
      <c r="T31" s="13">
        <v>300</v>
      </c>
      <c r="U31" s="14"/>
      <c r="V31" s="14"/>
      <c r="W31" s="14"/>
      <c r="X31" s="14">
        <v>7.5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/>
      <c r="AF31" s="14">
        <v>0</v>
      </c>
      <c r="AG31" s="115">
        <v>100</v>
      </c>
      <c r="AH31" s="115">
        <v>0</v>
      </c>
      <c r="AI31" s="115"/>
      <c r="AJ31" s="115">
        <v>42.5</v>
      </c>
      <c r="AK31" s="115"/>
      <c r="AL31" s="115">
        <v>0</v>
      </c>
      <c r="AM31" s="115">
        <v>0</v>
      </c>
      <c r="AN31" s="115">
        <v>0</v>
      </c>
      <c r="AO31" s="119">
        <f t="shared" si="0"/>
        <v>1940</v>
      </c>
    </row>
    <row r="32" ht="14.25" spans="2:41">
      <c r="B32" s="65" t="s">
        <v>140</v>
      </c>
      <c r="C32" s="118" t="s">
        <v>141</v>
      </c>
      <c r="D32" s="65" t="s">
        <v>141</v>
      </c>
      <c r="E32" s="32">
        <v>15</v>
      </c>
      <c r="F32" s="32">
        <v>110</v>
      </c>
      <c r="G32" s="32">
        <v>0</v>
      </c>
      <c r="H32" s="32">
        <v>3</v>
      </c>
      <c r="I32" s="32"/>
      <c r="J32" s="32"/>
      <c r="K32" s="32"/>
      <c r="L32" s="32"/>
      <c r="M32" s="32">
        <v>0</v>
      </c>
      <c r="N32" s="32">
        <v>0</v>
      </c>
      <c r="O32" s="32"/>
      <c r="P32" s="32"/>
      <c r="Q32" s="32"/>
      <c r="R32" s="32"/>
      <c r="S32" s="32"/>
      <c r="T32" s="13">
        <v>0</v>
      </c>
      <c r="U32" s="14"/>
      <c r="V32" s="14"/>
      <c r="W32" s="14"/>
      <c r="X32" s="14">
        <v>0</v>
      </c>
      <c r="Y32" s="14">
        <v>0</v>
      </c>
      <c r="Z32" s="14"/>
      <c r="AA32" s="14"/>
      <c r="AB32" s="14"/>
      <c r="AC32" s="14">
        <v>0</v>
      </c>
      <c r="AD32" s="14">
        <v>0</v>
      </c>
      <c r="AE32" s="14"/>
      <c r="AF32" s="14">
        <v>0</v>
      </c>
      <c r="AG32" s="115">
        <v>25</v>
      </c>
      <c r="AH32" s="115">
        <v>7</v>
      </c>
      <c r="AI32" s="115"/>
      <c r="AJ32" s="115">
        <v>0</v>
      </c>
      <c r="AK32" s="115"/>
      <c r="AL32" s="115">
        <v>0</v>
      </c>
      <c r="AM32" s="115">
        <v>0</v>
      </c>
      <c r="AN32" s="115">
        <v>0</v>
      </c>
      <c r="AO32" s="119">
        <f t="shared" si="0"/>
        <v>160</v>
      </c>
    </row>
    <row r="33" ht="14.25" spans="2:41">
      <c r="B33" s="65" t="s">
        <v>142</v>
      </c>
      <c r="C33" s="118" t="s">
        <v>143</v>
      </c>
      <c r="D33" s="65" t="s">
        <v>143</v>
      </c>
      <c r="E33" s="32">
        <v>0</v>
      </c>
      <c r="F33" s="32">
        <v>0</v>
      </c>
      <c r="G33" s="32">
        <v>0</v>
      </c>
      <c r="H33" s="32">
        <v>0</v>
      </c>
      <c r="I33" s="32"/>
      <c r="J33" s="32"/>
      <c r="K33" s="32"/>
      <c r="L33" s="32"/>
      <c r="M33" s="32">
        <v>0</v>
      </c>
      <c r="N33" s="32">
        <v>0</v>
      </c>
      <c r="O33" s="32"/>
      <c r="P33" s="32"/>
      <c r="Q33" s="32"/>
      <c r="R33" s="32"/>
      <c r="S33" s="32"/>
      <c r="T33" s="13">
        <v>0</v>
      </c>
      <c r="U33" s="14"/>
      <c r="V33" s="14"/>
      <c r="W33" s="14"/>
      <c r="X33" s="14">
        <v>0</v>
      </c>
      <c r="Y33" s="14">
        <v>0</v>
      </c>
      <c r="Z33" s="14"/>
      <c r="AA33" s="14"/>
      <c r="AB33" s="14"/>
      <c r="AC33" s="14">
        <v>8</v>
      </c>
      <c r="AD33" s="14">
        <v>340</v>
      </c>
      <c r="AE33" s="14"/>
      <c r="AF33" s="14">
        <v>0</v>
      </c>
      <c r="AG33" s="115">
        <v>0</v>
      </c>
      <c r="AH33" s="115">
        <v>0</v>
      </c>
      <c r="AI33" s="115"/>
      <c r="AJ33" s="115">
        <v>0</v>
      </c>
      <c r="AK33" s="115"/>
      <c r="AL33" s="115">
        <v>0</v>
      </c>
      <c r="AM33" s="115">
        <v>100</v>
      </c>
      <c r="AN33" s="115">
        <v>80</v>
      </c>
      <c r="AO33" s="119">
        <f t="shared" si="0"/>
        <v>528</v>
      </c>
    </row>
    <row r="34" ht="14.25" spans="2:41">
      <c r="B34" s="65" t="s">
        <v>144</v>
      </c>
      <c r="C34" s="118" t="s">
        <v>145</v>
      </c>
      <c r="D34" s="65" t="s">
        <v>146</v>
      </c>
      <c r="E34" s="43"/>
      <c r="F34" s="43"/>
      <c r="G34" s="43">
        <v>0</v>
      </c>
      <c r="H34" s="43">
        <v>20</v>
      </c>
      <c r="I34" s="43"/>
      <c r="J34" s="43"/>
      <c r="K34" s="43"/>
      <c r="L34" s="43"/>
      <c r="M34" s="43"/>
      <c r="N34" s="43">
        <v>0</v>
      </c>
      <c r="O34" s="43"/>
      <c r="P34" s="43"/>
      <c r="Q34" s="43"/>
      <c r="R34" s="43"/>
      <c r="S34" s="43"/>
      <c r="T34" s="43">
        <v>0</v>
      </c>
      <c r="U34" s="43"/>
      <c r="V34" s="43"/>
      <c r="W34" s="43"/>
      <c r="X34" s="43"/>
      <c r="Y34" s="43"/>
      <c r="Z34" s="43">
        <v>0</v>
      </c>
      <c r="AA34" s="43">
        <v>0</v>
      </c>
      <c r="AB34" s="43">
        <v>0</v>
      </c>
      <c r="AC34" s="43"/>
      <c r="AD34" s="43"/>
      <c r="AE34" s="43"/>
      <c r="AF34" s="43">
        <v>0</v>
      </c>
      <c r="AG34" s="121"/>
      <c r="AH34" s="121">
        <v>24</v>
      </c>
      <c r="AI34" s="122">
        <v>7.5</v>
      </c>
      <c r="AJ34" s="121"/>
      <c r="AK34" s="121"/>
      <c r="AL34" s="121">
        <v>0</v>
      </c>
      <c r="AM34" s="121"/>
      <c r="AN34" s="121"/>
      <c r="AO34" s="119">
        <f t="shared" si="0"/>
        <v>51.5</v>
      </c>
    </row>
    <row r="35" ht="14.25" spans="2:41">
      <c r="B35" s="65" t="s">
        <v>147</v>
      </c>
      <c r="C35" s="118" t="s">
        <v>148</v>
      </c>
      <c r="D35" s="65" t="s">
        <v>149</v>
      </c>
      <c r="E35" s="32">
        <v>75</v>
      </c>
      <c r="F35" s="32">
        <v>0</v>
      </c>
      <c r="G35" s="32">
        <v>20</v>
      </c>
      <c r="H35" s="32">
        <v>0</v>
      </c>
      <c r="I35" s="32"/>
      <c r="J35" s="32"/>
      <c r="K35" s="32"/>
      <c r="L35" s="32"/>
      <c r="M35" s="32">
        <v>60</v>
      </c>
      <c r="N35" s="32">
        <v>0</v>
      </c>
      <c r="O35" s="32"/>
      <c r="P35" s="32"/>
      <c r="Q35" s="32"/>
      <c r="R35" s="32"/>
      <c r="S35" s="32"/>
      <c r="T35" s="13">
        <v>0</v>
      </c>
      <c r="U35" s="14"/>
      <c r="V35" s="14"/>
      <c r="W35" s="14"/>
      <c r="X35" s="14">
        <v>0</v>
      </c>
      <c r="Y35" s="14">
        <v>0</v>
      </c>
      <c r="Z35" s="14"/>
      <c r="AA35" s="14"/>
      <c r="AB35" s="14"/>
      <c r="AC35" s="14">
        <v>8</v>
      </c>
      <c r="AD35" s="14">
        <v>0</v>
      </c>
      <c r="AE35" s="14"/>
      <c r="AF35" s="14">
        <v>0</v>
      </c>
      <c r="AG35" s="115">
        <v>25</v>
      </c>
      <c r="AH35" s="115">
        <v>0</v>
      </c>
      <c r="AI35" s="115"/>
      <c r="AJ35" s="115">
        <v>0</v>
      </c>
      <c r="AK35" s="115"/>
      <c r="AL35" s="115">
        <v>0</v>
      </c>
      <c r="AM35" s="115">
        <v>0</v>
      </c>
      <c r="AN35" s="115">
        <v>0</v>
      </c>
      <c r="AO35" s="119">
        <f t="shared" si="0"/>
        <v>188</v>
      </c>
    </row>
    <row r="36" ht="14.25" spans="2:41">
      <c r="B36" s="65" t="s">
        <v>150</v>
      </c>
      <c r="C36" s="118" t="s">
        <v>151</v>
      </c>
      <c r="D36" s="65" t="s">
        <v>151</v>
      </c>
      <c r="E36" s="32">
        <v>0</v>
      </c>
      <c r="F36" s="32">
        <v>0</v>
      </c>
      <c r="G36" s="32">
        <v>0</v>
      </c>
      <c r="H36" s="32">
        <v>0</v>
      </c>
      <c r="I36" s="32"/>
      <c r="J36" s="32"/>
      <c r="K36" s="32"/>
      <c r="L36" s="32"/>
      <c r="M36" s="32">
        <v>0</v>
      </c>
      <c r="N36" s="32">
        <v>0</v>
      </c>
      <c r="O36" s="32"/>
      <c r="P36" s="32"/>
      <c r="Q36" s="32"/>
      <c r="R36" s="32"/>
      <c r="S36" s="32"/>
      <c r="T36" s="13">
        <v>0</v>
      </c>
      <c r="U36" s="14"/>
      <c r="V36" s="14"/>
      <c r="W36" s="14"/>
      <c r="X36" s="14">
        <v>0</v>
      </c>
      <c r="Y36" s="14">
        <v>0</v>
      </c>
      <c r="Z36" s="14"/>
      <c r="AA36" s="14"/>
      <c r="AB36" s="14"/>
      <c r="AC36" s="14">
        <v>4</v>
      </c>
      <c r="AD36" s="14">
        <v>0</v>
      </c>
      <c r="AE36" s="14"/>
      <c r="AF36" s="14">
        <v>0</v>
      </c>
      <c r="AG36" s="115">
        <v>0</v>
      </c>
      <c r="AH36" s="115">
        <v>0</v>
      </c>
      <c r="AI36" s="115"/>
      <c r="AJ36" s="115">
        <v>0</v>
      </c>
      <c r="AK36" s="115"/>
      <c r="AL36" s="115">
        <v>0</v>
      </c>
      <c r="AM36" s="115">
        <v>0</v>
      </c>
      <c r="AN36" s="115">
        <v>0</v>
      </c>
      <c r="AO36" s="119">
        <f t="shared" si="0"/>
        <v>4</v>
      </c>
    </row>
    <row r="37" ht="14.25" spans="2:41">
      <c r="B37" s="65" t="s">
        <v>152</v>
      </c>
      <c r="C37" s="118" t="s">
        <v>153</v>
      </c>
      <c r="D37" s="65" t="s">
        <v>153</v>
      </c>
      <c r="E37" s="34">
        <v>0</v>
      </c>
      <c r="F37" s="34">
        <v>0</v>
      </c>
      <c r="G37" s="34">
        <v>20</v>
      </c>
      <c r="H37" s="34">
        <v>0</v>
      </c>
      <c r="I37" s="34"/>
      <c r="J37" s="34"/>
      <c r="K37" s="34"/>
      <c r="L37" s="34"/>
      <c r="M37" s="34">
        <v>0</v>
      </c>
      <c r="N37" s="34">
        <v>0</v>
      </c>
      <c r="O37" s="34"/>
      <c r="P37" s="34"/>
      <c r="Q37" s="34"/>
      <c r="R37" s="34"/>
      <c r="S37" s="34"/>
      <c r="T37" s="13">
        <v>0</v>
      </c>
      <c r="U37" s="14"/>
      <c r="V37" s="14"/>
      <c r="W37" s="14"/>
      <c r="X37" s="14">
        <v>0</v>
      </c>
      <c r="Y37" s="14">
        <v>0</v>
      </c>
      <c r="Z37" s="14"/>
      <c r="AA37" s="14"/>
      <c r="AB37" s="14"/>
      <c r="AC37" s="14">
        <v>0</v>
      </c>
      <c r="AD37" s="14">
        <v>0</v>
      </c>
      <c r="AE37" s="14"/>
      <c r="AF37" s="14">
        <v>0</v>
      </c>
      <c r="AG37" s="115">
        <v>0</v>
      </c>
      <c r="AH37" s="115">
        <v>0</v>
      </c>
      <c r="AI37" s="115"/>
      <c r="AJ37" s="115">
        <v>0</v>
      </c>
      <c r="AK37" s="115"/>
      <c r="AL37" s="115">
        <v>0</v>
      </c>
      <c r="AM37" s="115">
        <v>0</v>
      </c>
      <c r="AN37" s="115">
        <v>0</v>
      </c>
      <c r="AO37" s="119">
        <f t="shared" si="0"/>
        <v>20</v>
      </c>
    </row>
    <row r="38" ht="14.25" spans="2:41">
      <c r="B38" s="65" t="s">
        <v>154</v>
      </c>
      <c r="C38" s="118" t="s">
        <v>155</v>
      </c>
      <c r="D38" s="65" t="s">
        <v>155</v>
      </c>
      <c r="E38" s="34">
        <v>60</v>
      </c>
      <c r="F38" s="34">
        <v>260</v>
      </c>
      <c r="G38" s="34">
        <v>0</v>
      </c>
      <c r="H38" s="34">
        <v>0</v>
      </c>
      <c r="I38" s="34"/>
      <c r="J38" s="34"/>
      <c r="K38" s="34"/>
      <c r="L38" s="34"/>
      <c r="M38" s="34">
        <v>40</v>
      </c>
      <c r="N38" s="34">
        <v>0</v>
      </c>
      <c r="O38" s="34"/>
      <c r="P38" s="34"/>
      <c r="Q38" s="34"/>
      <c r="R38" s="34"/>
      <c r="S38" s="34"/>
      <c r="T38" s="13">
        <v>0</v>
      </c>
      <c r="U38" s="14"/>
      <c r="V38" s="14"/>
      <c r="W38" s="14"/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/>
      <c r="AF38" s="14">
        <v>0</v>
      </c>
      <c r="AG38" s="115">
        <v>0</v>
      </c>
      <c r="AH38" s="115">
        <v>0</v>
      </c>
      <c r="AI38" s="115"/>
      <c r="AJ38" s="115">
        <v>0</v>
      </c>
      <c r="AK38" s="115"/>
      <c r="AL38" s="115">
        <v>0</v>
      </c>
      <c r="AM38" s="115">
        <v>0</v>
      </c>
      <c r="AN38" s="115">
        <v>0</v>
      </c>
      <c r="AO38" s="119">
        <f t="shared" si="0"/>
        <v>360</v>
      </c>
    </row>
    <row r="39" ht="14.25" spans="2:41">
      <c r="B39" s="65" t="s">
        <v>156</v>
      </c>
      <c r="C39" s="118" t="s">
        <v>157</v>
      </c>
      <c r="D39" s="65" t="s">
        <v>157</v>
      </c>
      <c r="E39" s="34">
        <v>14.85</v>
      </c>
      <c r="F39" s="34">
        <v>11</v>
      </c>
      <c r="G39" s="34">
        <v>3</v>
      </c>
      <c r="H39" s="34">
        <v>0.3</v>
      </c>
      <c r="I39" s="34"/>
      <c r="J39" s="34"/>
      <c r="K39" s="34"/>
      <c r="L39" s="34"/>
      <c r="M39" s="34">
        <v>4</v>
      </c>
      <c r="N39" s="34">
        <v>12.5</v>
      </c>
      <c r="O39" s="34"/>
      <c r="P39" s="34"/>
      <c r="Q39" s="34"/>
      <c r="R39" s="34"/>
      <c r="S39" s="34"/>
      <c r="T39" s="13">
        <v>10</v>
      </c>
      <c r="U39" s="14"/>
      <c r="V39" s="14"/>
      <c r="W39" s="14"/>
      <c r="X39" s="14">
        <v>8</v>
      </c>
      <c r="Y39" s="14">
        <v>7.5</v>
      </c>
      <c r="Z39" s="14">
        <v>10</v>
      </c>
      <c r="AA39" s="14">
        <v>5</v>
      </c>
      <c r="AB39" s="14">
        <v>5</v>
      </c>
      <c r="AC39" s="14">
        <v>0.8</v>
      </c>
      <c r="AD39" s="14">
        <v>12.45</v>
      </c>
      <c r="AE39" s="14"/>
      <c r="AF39" s="14">
        <v>0</v>
      </c>
      <c r="AG39" s="115">
        <v>6.75</v>
      </c>
      <c r="AH39" s="115">
        <v>0.7</v>
      </c>
      <c r="AI39" s="115"/>
      <c r="AJ39" s="115">
        <v>2.55</v>
      </c>
      <c r="AK39" s="115"/>
      <c r="AL39" s="115">
        <v>0</v>
      </c>
      <c r="AM39" s="115">
        <v>4</v>
      </c>
      <c r="AN39" s="115">
        <v>0</v>
      </c>
      <c r="AO39" s="119">
        <f t="shared" si="0"/>
        <v>118.4</v>
      </c>
    </row>
    <row r="40" ht="14.25" spans="2:41">
      <c r="B40" s="65" t="s">
        <v>158</v>
      </c>
      <c r="C40" s="118" t="s">
        <v>159</v>
      </c>
      <c r="D40" s="65" t="s">
        <v>160</v>
      </c>
      <c r="E40" s="34">
        <v>0</v>
      </c>
      <c r="F40" s="34">
        <v>0</v>
      </c>
      <c r="G40" s="34">
        <v>0</v>
      </c>
      <c r="H40" s="34">
        <v>0</v>
      </c>
      <c r="I40" s="34"/>
      <c r="J40" s="34"/>
      <c r="K40" s="34"/>
      <c r="L40" s="34"/>
      <c r="M40" s="34">
        <v>160</v>
      </c>
      <c r="N40" s="34">
        <v>80</v>
      </c>
      <c r="O40" s="34"/>
      <c r="P40" s="34"/>
      <c r="Q40" s="34"/>
      <c r="R40" s="34"/>
      <c r="S40" s="34"/>
      <c r="T40" s="34">
        <v>97.5</v>
      </c>
      <c r="U40" s="14"/>
      <c r="V40" s="14"/>
      <c r="W40" s="14"/>
      <c r="X40" s="14">
        <v>6</v>
      </c>
      <c r="Y40" s="14">
        <v>150</v>
      </c>
      <c r="Z40" s="14">
        <v>19.5</v>
      </c>
      <c r="AA40" s="14">
        <v>13</v>
      </c>
      <c r="AB40" s="14">
        <v>0</v>
      </c>
      <c r="AC40" s="14">
        <v>0</v>
      </c>
      <c r="AD40" s="14">
        <v>0</v>
      </c>
      <c r="AE40" s="14"/>
      <c r="AF40" s="14">
        <v>0</v>
      </c>
      <c r="AG40" s="115">
        <v>0</v>
      </c>
      <c r="AH40" s="115">
        <v>0</v>
      </c>
      <c r="AI40" s="115"/>
      <c r="AJ40" s="115">
        <v>34</v>
      </c>
      <c r="AK40" s="115"/>
      <c r="AL40" s="115">
        <v>0</v>
      </c>
      <c r="AM40" s="115">
        <v>0</v>
      </c>
      <c r="AN40" s="115">
        <v>0</v>
      </c>
      <c r="AO40" s="119">
        <f t="shared" si="0"/>
        <v>560</v>
      </c>
    </row>
    <row r="41" ht="14.25" spans="2:41">
      <c r="B41" s="65" t="s">
        <v>161</v>
      </c>
      <c r="C41" s="118" t="s">
        <v>162</v>
      </c>
      <c r="D41" s="65" t="s">
        <v>162</v>
      </c>
      <c r="E41" s="34"/>
      <c r="F41" s="34">
        <v>0</v>
      </c>
      <c r="G41" s="34">
        <v>0</v>
      </c>
      <c r="H41" s="34">
        <v>0</v>
      </c>
      <c r="I41" s="34"/>
      <c r="J41" s="34"/>
      <c r="K41" s="34"/>
      <c r="L41" s="34"/>
      <c r="M41" s="34">
        <v>0</v>
      </c>
      <c r="N41" s="34">
        <v>0</v>
      </c>
      <c r="O41" s="34"/>
      <c r="P41" s="34"/>
      <c r="Q41" s="34"/>
      <c r="R41" s="34"/>
      <c r="S41" s="34"/>
      <c r="T41" s="13">
        <v>0</v>
      </c>
      <c r="U41" s="14"/>
      <c r="V41" s="14"/>
      <c r="W41" s="14"/>
      <c r="X41" s="14">
        <v>1.68</v>
      </c>
      <c r="Y41" s="14">
        <v>14.8</v>
      </c>
      <c r="Z41" s="14"/>
      <c r="AA41" s="14"/>
      <c r="AB41" s="14"/>
      <c r="AC41" s="14">
        <v>0</v>
      </c>
      <c r="AD41" s="14">
        <v>0</v>
      </c>
      <c r="AE41" s="14"/>
      <c r="AF41" s="14">
        <v>0</v>
      </c>
      <c r="AG41" s="115">
        <v>14</v>
      </c>
      <c r="AH41" s="115">
        <v>0</v>
      </c>
      <c r="AI41" s="115"/>
      <c r="AJ41" s="115">
        <v>9.52</v>
      </c>
      <c r="AK41" s="115"/>
      <c r="AL41" s="115">
        <v>0</v>
      </c>
      <c r="AM41" s="115">
        <v>0</v>
      </c>
      <c r="AN41" s="115">
        <v>0</v>
      </c>
      <c r="AO41" s="119">
        <f t="shared" si="0"/>
        <v>40</v>
      </c>
    </row>
    <row r="42" ht="14.25" spans="2:41">
      <c r="B42" s="65" t="s">
        <v>163</v>
      </c>
      <c r="C42" s="118" t="s">
        <v>164</v>
      </c>
      <c r="D42" s="65" t="s">
        <v>165</v>
      </c>
      <c r="E42" s="34">
        <v>0</v>
      </c>
      <c r="F42" s="34">
        <v>0</v>
      </c>
      <c r="G42" s="34">
        <v>0</v>
      </c>
      <c r="H42" s="34">
        <v>0</v>
      </c>
      <c r="I42" s="34"/>
      <c r="J42" s="34"/>
      <c r="K42" s="34"/>
      <c r="L42" s="34"/>
      <c r="M42" s="34">
        <v>0</v>
      </c>
      <c r="N42" s="34">
        <v>0</v>
      </c>
      <c r="O42" s="34"/>
      <c r="P42" s="34"/>
      <c r="Q42" s="34"/>
      <c r="R42" s="34"/>
      <c r="S42" s="34"/>
      <c r="T42" s="13">
        <v>0</v>
      </c>
      <c r="U42" s="14"/>
      <c r="V42" s="14"/>
      <c r="W42" s="14"/>
      <c r="X42" s="14">
        <v>0</v>
      </c>
      <c r="Y42" s="14">
        <v>0</v>
      </c>
      <c r="Z42" s="14"/>
      <c r="AA42" s="14"/>
      <c r="AB42" s="14"/>
      <c r="AC42" s="14">
        <v>8</v>
      </c>
      <c r="AD42" s="14">
        <v>340</v>
      </c>
      <c r="AE42" s="14"/>
      <c r="AF42" s="14">
        <v>0</v>
      </c>
      <c r="AG42" s="115">
        <v>0</v>
      </c>
      <c r="AH42" s="115">
        <v>0</v>
      </c>
      <c r="AI42" s="115"/>
      <c r="AJ42" s="115">
        <v>0</v>
      </c>
      <c r="AK42" s="115"/>
      <c r="AL42" s="115">
        <v>0</v>
      </c>
      <c r="AM42" s="115">
        <v>100</v>
      </c>
      <c r="AN42" s="115">
        <v>16</v>
      </c>
      <c r="AO42" s="119">
        <f t="shared" si="0"/>
        <v>464</v>
      </c>
    </row>
    <row r="43" ht="14.25" spans="2:41">
      <c r="B43" s="65" t="s">
        <v>166</v>
      </c>
      <c r="C43" s="118" t="s">
        <v>167</v>
      </c>
      <c r="D43" s="65" t="s">
        <v>168</v>
      </c>
      <c r="E43" s="34">
        <v>0</v>
      </c>
      <c r="F43" s="34">
        <v>0</v>
      </c>
      <c r="G43" s="34">
        <v>0</v>
      </c>
      <c r="H43" s="34">
        <v>0</v>
      </c>
      <c r="I43" s="34"/>
      <c r="J43" s="34"/>
      <c r="K43" s="34"/>
      <c r="L43" s="34"/>
      <c r="M43" s="34">
        <v>0</v>
      </c>
      <c r="N43" s="34">
        <v>0</v>
      </c>
      <c r="O43" s="34"/>
      <c r="P43" s="34"/>
      <c r="Q43" s="34"/>
      <c r="R43" s="34"/>
      <c r="S43" s="34"/>
      <c r="T43" s="13">
        <v>18</v>
      </c>
      <c r="U43" s="14"/>
      <c r="V43" s="14"/>
      <c r="W43" s="14"/>
      <c r="X43" s="14">
        <v>0</v>
      </c>
      <c r="Y43" s="14">
        <v>0</v>
      </c>
      <c r="Z43" s="14"/>
      <c r="AA43" s="14"/>
      <c r="AB43" s="14"/>
      <c r="AC43" s="14">
        <v>0</v>
      </c>
      <c r="AD43" s="14">
        <v>356</v>
      </c>
      <c r="AE43" s="14"/>
      <c r="AF43" s="14">
        <v>0</v>
      </c>
      <c r="AG43" s="115">
        <v>0</v>
      </c>
      <c r="AH43" s="115">
        <v>0</v>
      </c>
      <c r="AI43" s="115"/>
      <c r="AJ43" s="115">
        <v>0</v>
      </c>
      <c r="AK43" s="115"/>
      <c r="AL43" s="115">
        <v>0</v>
      </c>
      <c r="AM43" s="115">
        <v>100</v>
      </c>
      <c r="AN43" s="115">
        <v>16</v>
      </c>
      <c r="AO43" s="119">
        <f t="shared" si="0"/>
        <v>490</v>
      </c>
    </row>
    <row r="44" ht="14.25" spans="2:41">
      <c r="B44" s="65" t="s">
        <v>169</v>
      </c>
      <c r="C44" s="118" t="s">
        <v>170</v>
      </c>
      <c r="D44" s="65" t="s">
        <v>170</v>
      </c>
      <c r="E44" s="34">
        <v>0</v>
      </c>
      <c r="F44" s="34">
        <v>0</v>
      </c>
      <c r="G44" s="34">
        <v>0</v>
      </c>
      <c r="H44" s="34">
        <v>0</v>
      </c>
      <c r="I44" s="34"/>
      <c r="J44" s="34"/>
      <c r="K44" s="34"/>
      <c r="L44" s="34"/>
      <c r="M44" s="34">
        <v>0</v>
      </c>
      <c r="N44" s="34">
        <v>0</v>
      </c>
      <c r="O44" s="34"/>
      <c r="P44" s="34"/>
      <c r="Q44" s="34"/>
      <c r="R44" s="34"/>
      <c r="S44" s="34"/>
      <c r="T44" s="13">
        <v>0</v>
      </c>
      <c r="U44" s="14"/>
      <c r="V44" s="14"/>
      <c r="W44" s="14"/>
      <c r="X44" s="14">
        <v>0</v>
      </c>
      <c r="Y44" s="14">
        <v>0</v>
      </c>
      <c r="Z44" s="14"/>
      <c r="AA44" s="14"/>
      <c r="AB44" s="14"/>
      <c r="AC44" s="14">
        <v>0</v>
      </c>
      <c r="AD44" s="14">
        <v>680</v>
      </c>
      <c r="AE44" s="14"/>
      <c r="AF44" s="14">
        <v>45</v>
      </c>
      <c r="AG44" s="115">
        <v>0</v>
      </c>
      <c r="AH44" s="115">
        <v>0</v>
      </c>
      <c r="AI44" s="115"/>
      <c r="AJ44" s="115">
        <v>0</v>
      </c>
      <c r="AK44" s="115"/>
      <c r="AL44" s="115">
        <v>9</v>
      </c>
      <c r="AM44" s="115">
        <v>200</v>
      </c>
      <c r="AN44" s="115">
        <v>16</v>
      </c>
      <c r="AO44" s="119">
        <f t="shared" si="0"/>
        <v>950</v>
      </c>
    </row>
    <row r="45" ht="14.25" spans="2:41">
      <c r="B45" s="65" t="s">
        <v>171</v>
      </c>
      <c r="C45" s="118" t="s">
        <v>172</v>
      </c>
      <c r="D45" s="65" t="s">
        <v>172</v>
      </c>
      <c r="E45" s="34">
        <v>0</v>
      </c>
      <c r="F45" s="34">
        <v>0</v>
      </c>
      <c r="G45" s="34">
        <v>0</v>
      </c>
      <c r="H45" s="34">
        <v>0</v>
      </c>
      <c r="I45" s="34"/>
      <c r="J45" s="34"/>
      <c r="K45" s="34"/>
      <c r="L45" s="34"/>
      <c r="M45" s="34">
        <v>0</v>
      </c>
      <c r="N45" s="34">
        <v>0</v>
      </c>
      <c r="O45" s="34"/>
      <c r="P45" s="34"/>
      <c r="Q45" s="34"/>
      <c r="R45" s="34"/>
      <c r="S45" s="34"/>
      <c r="T45" s="13">
        <v>0</v>
      </c>
      <c r="U45" s="14"/>
      <c r="V45" s="14"/>
      <c r="W45" s="14"/>
      <c r="X45" s="14">
        <v>0</v>
      </c>
      <c r="Y45" s="14">
        <v>0</v>
      </c>
      <c r="Z45" s="14"/>
      <c r="AA45" s="14"/>
      <c r="AB45" s="14"/>
      <c r="AC45" s="14">
        <v>0</v>
      </c>
      <c r="AD45" s="14">
        <v>612</v>
      </c>
      <c r="AE45" s="14"/>
      <c r="AF45" s="14">
        <v>0</v>
      </c>
      <c r="AG45" s="115">
        <v>0</v>
      </c>
      <c r="AH45" s="115">
        <v>0</v>
      </c>
      <c r="AI45" s="115"/>
      <c r="AJ45" s="115">
        <v>0</v>
      </c>
      <c r="AK45" s="115"/>
      <c r="AL45" s="115">
        <v>0</v>
      </c>
      <c r="AM45" s="115">
        <v>180</v>
      </c>
      <c r="AN45" s="115">
        <v>2.4</v>
      </c>
      <c r="AO45" s="119">
        <f t="shared" si="0"/>
        <v>794.4</v>
      </c>
    </row>
    <row r="46" ht="14.25" spans="2:41">
      <c r="B46" s="118" t="s">
        <v>173</v>
      </c>
      <c r="C46" s="118" t="s">
        <v>174</v>
      </c>
      <c r="D46" s="65" t="s">
        <v>174</v>
      </c>
      <c r="E46" s="34">
        <v>12</v>
      </c>
      <c r="F46" s="34">
        <v>0</v>
      </c>
      <c r="G46" s="34">
        <v>0</v>
      </c>
      <c r="H46" s="34">
        <v>0</v>
      </c>
      <c r="I46" s="34"/>
      <c r="J46" s="34"/>
      <c r="K46" s="34"/>
      <c r="L46" s="34"/>
      <c r="M46" s="34">
        <v>0</v>
      </c>
      <c r="N46" s="34">
        <v>0</v>
      </c>
      <c r="O46" s="34"/>
      <c r="P46" s="34"/>
      <c r="Q46" s="34"/>
      <c r="R46" s="34"/>
      <c r="S46" s="34"/>
      <c r="T46" s="13">
        <v>0</v>
      </c>
      <c r="U46" s="14"/>
      <c r="V46" s="14"/>
      <c r="W46" s="14"/>
      <c r="X46" s="14">
        <v>0</v>
      </c>
      <c r="Y46" s="14">
        <v>0</v>
      </c>
      <c r="Z46" s="14"/>
      <c r="AA46" s="14"/>
      <c r="AB46" s="14"/>
      <c r="AC46" s="14">
        <v>0</v>
      </c>
      <c r="AD46" s="14">
        <v>0</v>
      </c>
      <c r="AE46" s="14"/>
      <c r="AF46" s="14">
        <v>0</v>
      </c>
      <c r="AG46" s="115">
        <v>13</v>
      </c>
      <c r="AH46" s="115">
        <v>0</v>
      </c>
      <c r="AI46" s="115"/>
      <c r="AJ46" s="115">
        <v>0</v>
      </c>
      <c r="AK46" s="115"/>
      <c r="AL46" s="115">
        <v>0</v>
      </c>
      <c r="AM46" s="115">
        <v>0</v>
      </c>
      <c r="AN46" s="115">
        <v>0</v>
      </c>
      <c r="AO46" s="119">
        <f t="shared" si="0"/>
        <v>25</v>
      </c>
    </row>
    <row r="47" ht="14.25" spans="2:41">
      <c r="B47" s="65" t="s">
        <v>175</v>
      </c>
      <c r="C47" s="118" t="s">
        <v>176</v>
      </c>
      <c r="D47" s="65" t="s">
        <v>177</v>
      </c>
      <c r="E47" s="34"/>
      <c r="F47" s="34"/>
      <c r="G47" s="34">
        <v>0</v>
      </c>
      <c r="H47" s="34">
        <v>0</v>
      </c>
      <c r="I47" s="34"/>
      <c r="J47" s="34"/>
      <c r="K47" s="34"/>
      <c r="L47" s="34"/>
      <c r="M47" s="34">
        <v>0</v>
      </c>
      <c r="N47" s="34">
        <v>0</v>
      </c>
      <c r="O47" s="34"/>
      <c r="P47" s="34"/>
      <c r="Q47" s="34"/>
      <c r="R47" s="34"/>
      <c r="S47" s="34"/>
      <c r="T47" s="34">
        <v>0</v>
      </c>
      <c r="U47" s="43"/>
      <c r="V47" s="43"/>
      <c r="W47" s="43"/>
      <c r="X47" s="43"/>
      <c r="Y47" s="43"/>
      <c r="Z47" s="43">
        <v>0</v>
      </c>
      <c r="AA47" s="43">
        <v>96.525</v>
      </c>
      <c r="AB47" s="43">
        <v>333.475</v>
      </c>
      <c r="AC47" s="43"/>
      <c r="AD47" s="43"/>
      <c r="AE47" s="43"/>
      <c r="AF47" s="43">
        <v>0</v>
      </c>
      <c r="AG47" s="121"/>
      <c r="AH47" s="121">
        <v>0</v>
      </c>
      <c r="AI47" s="121"/>
      <c r="AJ47" s="121"/>
      <c r="AK47" s="121"/>
      <c r="AL47" s="121">
        <v>0</v>
      </c>
      <c r="AM47" s="121"/>
      <c r="AN47" s="121"/>
      <c r="AO47" s="119">
        <f t="shared" si="0"/>
        <v>430</v>
      </c>
    </row>
    <row r="48" ht="17" customHeight="1" spans="2:41">
      <c r="B48" s="65" t="s">
        <v>178</v>
      </c>
      <c r="C48" s="118" t="s">
        <v>179</v>
      </c>
      <c r="D48" s="65" t="s">
        <v>179</v>
      </c>
      <c r="E48" s="34"/>
      <c r="F48" s="34"/>
      <c r="G48" s="34">
        <v>0</v>
      </c>
      <c r="H48" s="34">
        <v>0</v>
      </c>
      <c r="I48" s="34"/>
      <c r="J48" s="34"/>
      <c r="K48" s="34"/>
      <c r="L48" s="34"/>
      <c r="M48" s="34">
        <v>0</v>
      </c>
      <c r="N48" s="34">
        <v>0</v>
      </c>
      <c r="O48" s="34"/>
      <c r="P48" s="34"/>
      <c r="Q48" s="34"/>
      <c r="R48" s="34"/>
      <c r="S48" s="34"/>
      <c r="T48" s="34">
        <v>0</v>
      </c>
      <c r="U48" s="43"/>
      <c r="V48" s="43"/>
      <c r="W48" s="43"/>
      <c r="X48" s="43"/>
      <c r="Y48" s="43"/>
      <c r="Z48" s="43">
        <v>0</v>
      </c>
      <c r="AA48" s="43">
        <v>1.35</v>
      </c>
      <c r="AB48" s="43">
        <v>3</v>
      </c>
      <c r="AC48" s="43"/>
      <c r="AD48" s="43"/>
      <c r="AE48" s="43"/>
      <c r="AF48" s="43">
        <v>0</v>
      </c>
      <c r="AG48" s="121"/>
      <c r="AH48" s="121">
        <v>0</v>
      </c>
      <c r="AI48" s="121"/>
      <c r="AJ48" s="121"/>
      <c r="AK48" s="121"/>
      <c r="AL48" s="121">
        <v>0</v>
      </c>
      <c r="AM48" s="121"/>
      <c r="AN48" s="121"/>
      <c r="AO48" s="119">
        <f t="shared" si="0"/>
        <v>4.35</v>
      </c>
    </row>
    <row r="49" ht="17" customHeight="1" spans="2:41">
      <c r="B49" s="65" t="s">
        <v>180</v>
      </c>
      <c r="C49" s="118" t="s">
        <v>181</v>
      </c>
      <c r="D49" s="65" t="s">
        <v>181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>
        <v>0</v>
      </c>
      <c r="AA49" s="43">
        <v>0</v>
      </c>
      <c r="AB49" s="43">
        <v>0</v>
      </c>
      <c r="AC49" s="43"/>
      <c r="AD49" s="43"/>
      <c r="AE49" s="43"/>
      <c r="AF49" s="43">
        <v>0</v>
      </c>
      <c r="AG49" s="121"/>
      <c r="AH49" s="121"/>
      <c r="AI49" s="122">
        <v>15</v>
      </c>
      <c r="AJ49" s="121"/>
      <c r="AK49" s="121"/>
      <c r="AL49" s="121">
        <v>0</v>
      </c>
      <c r="AM49" s="121"/>
      <c r="AN49" s="121"/>
      <c r="AO49" s="119">
        <f t="shared" si="0"/>
        <v>15</v>
      </c>
    </row>
    <row r="50" ht="17" customHeight="1" spans="2:41">
      <c r="B50" s="65" t="s">
        <v>182</v>
      </c>
      <c r="C50" s="118" t="s">
        <v>183</v>
      </c>
      <c r="D50" s="65" t="s">
        <v>183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121"/>
      <c r="AH50" s="121"/>
      <c r="AI50" s="122">
        <v>15</v>
      </c>
      <c r="AJ50" s="121"/>
      <c r="AK50" s="121"/>
      <c r="AL50" s="121"/>
      <c r="AM50" s="121"/>
      <c r="AN50" s="121"/>
      <c r="AO50" s="119">
        <f t="shared" si="0"/>
        <v>15</v>
      </c>
    </row>
    <row r="51" ht="14.25" spans="2:41">
      <c r="B51" s="118" t="s">
        <v>184</v>
      </c>
      <c r="C51" s="118" t="s">
        <v>185</v>
      </c>
      <c r="D51" s="65" t="s">
        <v>185</v>
      </c>
      <c r="E51" s="34">
        <v>0</v>
      </c>
      <c r="F51" s="34">
        <v>0</v>
      </c>
      <c r="G51" s="34">
        <v>0</v>
      </c>
      <c r="H51" s="34">
        <v>0</v>
      </c>
      <c r="I51" s="34"/>
      <c r="J51" s="34"/>
      <c r="K51" s="34"/>
      <c r="L51" s="34"/>
      <c r="M51" s="34">
        <v>0</v>
      </c>
      <c r="N51" s="34">
        <v>0</v>
      </c>
      <c r="O51" s="34"/>
      <c r="P51" s="34"/>
      <c r="Q51" s="34"/>
      <c r="R51" s="34"/>
      <c r="S51" s="34"/>
      <c r="T51" s="13">
        <v>0</v>
      </c>
      <c r="U51" s="14"/>
      <c r="V51" s="14"/>
      <c r="W51" s="14"/>
      <c r="X51" s="14">
        <v>0</v>
      </c>
      <c r="Y51" s="14">
        <v>0</v>
      </c>
      <c r="Z51" s="14"/>
      <c r="AA51" s="14"/>
      <c r="AB51" s="14"/>
      <c r="AC51" s="14">
        <v>0.8</v>
      </c>
      <c r="AD51" s="14">
        <v>13.6</v>
      </c>
      <c r="AE51" s="14"/>
      <c r="AF51" s="14">
        <v>0</v>
      </c>
      <c r="AG51" s="115">
        <v>0</v>
      </c>
      <c r="AH51" s="115">
        <v>0</v>
      </c>
      <c r="AI51" s="115"/>
      <c r="AJ51" s="115">
        <v>0</v>
      </c>
      <c r="AK51" s="115"/>
      <c r="AL51" s="115">
        <v>0</v>
      </c>
      <c r="AM51" s="115">
        <v>4</v>
      </c>
      <c r="AN51" s="115">
        <v>1.6</v>
      </c>
      <c r="AO51" s="119">
        <f t="shared" si="0"/>
        <v>20</v>
      </c>
    </row>
    <row r="52" ht="14.25" spans="2:41">
      <c r="B52" s="65" t="s">
        <v>186</v>
      </c>
      <c r="C52" s="118" t="s">
        <v>187</v>
      </c>
      <c r="D52" s="65" t="s">
        <v>187</v>
      </c>
      <c r="E52" s="34">
        <v>0</v>
      </c>
      <c r="F52" s="34">
        <v>0</v>
      </c>
      <c r="G52" s="34">
        <v>0</v>
      </c>
      <c r="H52" s="34">
        <v>0</v>
      </c>
      <c r="I52" s="34"/>
      <c r="J52" s="34"/>
      <c r="K52" s="34"/>
      <c r="L52" s="34"/>
      <c r="M52" s="34">
        <v>0</v>
      </c>
      <c r="N52" s="34">
        <v>0</v>
      </c>
      <c r="O52" s="34"/>
      <c r="P52" s="34"/>
      <c r="Q52" s="34"/>
      <c r="R52" s="34"/>
      <c r="S52" s="34"/>
      <c r="T52" s="13">
        <v>0</v>
      </c>
      <c r="U52" s="14"/>
      <c r="V52" s="14"/>
      <c r="W52" s="14"/>
      <c r="X52" s="14">
        <v>4.5</v>
      </c>
      <c r="Y52" s="14">
        <v>60</v>
      </c>
      <c r="Z52" s="14"/>
      <c r="AA52" s="14"/>
      <c r="AB52" s="14"/>
      <c r="AC52" s="14">
        <v>0</v>
      </c>
      <c r="AD52" s="14">
        <v>0</v>
      </c>
      <c r="AE52" s="14"/>
      <c r="AF52" s="14">
        <v>0</v>
      </c>
      <c r="AG52" s="115">
        <v>0</v>
      </c>
      <c r="AH52" s="115">
        <v>0</v>
      </c>
      <c r="AI52" s="115"/>
      <c r="AJ52" s="115">
        <v>25.5</v>
      </c>
      <c r="AK52" s="115"/>
      <c r="AL52" s="115">
        <v>0</v>
      </c>
      <c r="AM52" s="115">
        <v>0</v>
      </c>
      <c r="AN52" s="115">
        <v>0</v>
      </c>
      <c r="AO52" s="119">
        <f t="shared" si="0"/>
        <v>90</v>
      </c>
    </row>
    <row r="53" ht="14.25" spans="2:41">
      <c r="B53" s="118" t="s">
        <v>188</v>
      </c>
      <c r="C53" s="118" t="s">
        <v>189</v>
      </c>
      <c r="D53" s="65" t="s">
        <v>189</v>
      </c>
      <c r="E53" s="34">
        <v>0</v>
      </c>
      <c r="F53" s="34">
        <v>0</v>
      </c>
      <c r="G53" s="34">
        <v>0</v>
      </c>
      <c r="H53" s="34">
        <v>0</v>
      </c>
      <c r="I53" s="34"/>
      <c r="J53" s="34"/>
      <c r="K53" s="34"/>
      <c r="L53" s="34"/>
      <c r="M53" s="34">
        <v>0</v>
      </c>
      <c r="N53" s="34">
        <v>0</v>
      </c>
      <c r="O53" s="34"/>
      <c r="P53" s="34"/>
      <c r="Q53" s="34"/>
      <c r="R53" s="34"/>
      <c r="S53" s="34"/>
      <c r="T53" s="13">
        <v>0</v>
      </c>
      <c r="U53" s="14"/>
      <c r="V53" s="14"/>
      <c r="W53" s="14"/>
      <c r="X53" s="14">
        <v>15</v>
      </c>
      <c r="Y53" s="14">
        <v>180</v>
      </c>
      <c r="Z53" s="14"/>
      <c r="AA53" s="14"/>
      <c r="AB53" s="14"/>
      <c r="AC53" s="14">
        <v>0</v>
      </c>
      <c r="AD53" s="14">
        <v>0</v>
      </c>
      <c r="AE53" s="14"/>
      <c r="AF53" s="14">
        <v>0</v>
      </c>
      <c r="AG53" s="115">
        <v>0</v>
      </c>
      <c r="AH53" s="115">
        <v>0</v>
      </c>
      <c r="AI53" s="115"/>
      <c r="AJ53" s="115">
        <v>85</v>
      </c>
      <c r="AK53" s="115"/>
      <c r="AL53" s="115">
        <v>0</v>
      </c>
      <c r="AM53" s="115">
        <v>0</v>
      </c>
      <c r="AN53" s="115">
        <v>0</v>
      </c>
      <c r="AO53" s="119">
        <f t="shared" si="0"/>
        <v>280</v>
      </c>
    </row>
    <row r="54" ht="14.25" spans="2:41">
      <c r="B54" s="118" t="s">
        <v>190</v>
      </c>
      <c r="C54" s="118" t="s">
        <v>191</v>
      </c>
      <c r="D54" s="65" t="s">
        <v>192</v>
      </c>
      <c r="E54" s="43"/>
      <c r="F54" s="43"/>
      <c r="G54" s="43">
        <v>0</v>
      </c>
      <c r="H54" s="43">
        <v>0</v>
      </c>
      <c r="I54" s="43"/>
      <c r="J54" s="43"/>
      <c r="K54" s="43"/>
      <c r="L54" s="43"/>
      <c r="M54" s="43">
        <v>0</v>
      </c>
      <c r="N54" s="43">
        <v>0</v>
      </c>
      <c r="O54" s="43"/>
      <c r="P54" s="43"/>
      <c r="Q54" s="43"/>
      <c r="R54" s="43"/>
      <c r="S54" s="43"/>
      <c r="T54" s="43">
        <v>0</v>
      </c>
      <c r="U54" s="43"/>
      <c r="V54" s="43"/>
      <c r="W54" s="43"/>
      <c r="X54" s="43"/>
      <c r="Y54" s="43"/>
      <c r="Z54" s="43">
        <v>90</v>
      </c>
      <c r="AA54" s="43">
        <v>0</v>
      </c>
      <c r="AB54" s="43">
        <v>0</v>
      </c>
      <c r="AC54" s="43"/>
      <c r="AD54" s="43"/>
      <c r="AE54" s="43"/>
      <c r="AF54" s="43">
        <v>0</v>
      </c>
      <c r="AG54" s="121"/>
      <c r="AH54" s="121">
        <v>0</v>
      </c>
      <c r="AI54" s="121"/>
      <c r="AJ54" s="121"/>
      <c r="AK54" s="121"/>
      <c r="AL54" s="121">
        <v>0</v>
      </c>
      <c r="AM54" s="121"/>
      <c r="AN54" s="121"/>
      <c r="AO54" s="119">
        <f t="shared" si="0"/>
        <v>90</v>
      </c>
    </row>
    <row r="55" ht="14.25" spans="2:41">
      <c r="B55" s="65" t="s">
        <v>193</v>
      </c>
      <c r="C55" s="118" t="s">
        <v>194</v>
      </c>
      <c r="D55" s="65" t="s">
        <v>195</v>
      </c>
      <c r="E55" s="34"/>
      <c r="F55" s="34"/>
      <c r="G55" s="34">
        <v>0</v>
      </c>
      <c r="H55" s="34">
        <v>0</v>
      </c>
      <c r="I55" s="34"/>
      <c r="J55" s="34"/>
      <c r="K55" s="34"/>
      <c r="L55" s="34"/>
      <c r="M55" s="34">
        <v>0</v>
      </c>
      <c r="N55" s="34">
        <v>0</v>
      </c>
      <c r="O55" s="34"/>
      <c r="P55" s="34"/>
      <c r="Q55" s="34"/>
      <c r="R55" s="34"/>
      <c r="S55" s="34"/>
      <c r="T55" s="34">
        <v>0</v>
      </c>
      <c r="U55" s="43"/>
      <c r="V55" s="43"/>
      <c r="W55" s="43"/>
      <c r="X55" s="43"/>
      <c r="Y55" s="43"/>
      <c r="Z55" s="43">
        <v>84.5</v>
      </c>
      <c r="AA55" s="43">
        <v>0</v>
      </c>
      <c r="AB55" s="43">
        <v>143.5</v>
      </c>
      <c r="AC55" s="43"/>
      <c r="AD55" s="43"/>
      <c r="AE55" s="43"/>
      <c r="AF55" s="43">
        <v>0</v>
      </c>
      <c r="AG55" s="121"/>
      <c r="AH55" s="121">
        <v>0</v>
      </c>
      <c r="AI55" s="121"/>
      <c r="AJ55" s="121"/>
      <c r="AK55" s="121"/>
      <c r="AL55" s="121">
        <v>0</v>
      </c>
      <c r="AM55" s="121"/>
      <c r="AN55" s="121"/>
      <c r="AO55" s="119">
        <f t="shared" si="0"/>
        <v>228</v>
      </c>
    </row>
    <row r="56" ht="14.25" spans="2:41">
      <c r="B56" s="65" t="s">
        <v>196</v>
      </c>
      <c r="C56" s="118" t="s">
        <v>197</v>
      </c>
      <c r="D56" s="65" t="s">
        <v>197</v>
      </c>
      <c r="E56" s="34">
        <v>0</v>
      </c>
      <c r="F56" s="34">
        <v>0</v>
      </c>
      <c r="G56" s="34">
        <v>0</v>
      </c>
      <c r="H56" s="34">
        <v>0</v>
      </c>
      <c r="I56" s="34"/>
      <c r="J56" s="34"/>
      <c r="K56" s="34"/>
      <c r="L56" s="34"/>
      <c r="M56" s="34">
        <v>0</v>
      </c>
      <c r="N56" s="34">
        <v>0</v>
      </c>
      <c r="O56" s="34"/>
      <c r="P56" s="34"/>
      <c r="Q56" s="34"/>
      <c r="R56" s="34"/>
      <c r="S56" s="34"/>
      <c r="T56" s="13">
        <v>0</v>
      </c>
      <c r="U56" s="14"/>
      <c r="V56" s="14"/>
      <c r="W56" s="14"/>
      <c r="X56" s="14">
        <v>0</v>
      </c>
      <c r="Y56" s="14">
        <v>0</v>
      </c>
      <c r="Z56" s="14"/>
      <c r="AA56" s="14"/>
      <c r="AB56" s="14"/>
      <c r="AC56" s="14">
        <v>8</v>
      </c>
      <c r="AD56" s="14">
        <v>1208.7</v>
      </c>
      <c r="AE56" s="14"/>
      <c r="AF56" s="14">
        <v>375</v>
      </c>
      <c r="AG56" s="115">
        <v>0</v>
      </c>
      <c r="AH56" s="115">
        <v>0</v>
      </c>
      <c r="AI56" s="115"/>
      <c r="AJ56" s="115">
        <v>0</v>
      </c>
      <c r="AK56" s="115"/>
      <c r="AL56" s="115">
        <v>75</v>
      </c>
      <c r="AM56" s="115">
        <v>388.1</v>
      </c>
      <c r="AN56" s="115">
        <v>45.2</v>
      </c>
      <c r="AO56" s="119">
        <f t="shared" si="0"/>
        <v>2100</v>
      </c>
    </row>
    <row r="57" ht="14.25" spans="2:41">
      <c r="B57" s="118" t="s">
        <v>198</v>
      </c>
      <c r="C57" s="118" t="s">
        <v>199</v>
      </c>
      <c r="D57" s="65" t="s">
        <v>199</v>
      </c>
      <c r="E57" s="43"/>
      <c r="F57" s="43"/>
      <c r="G57" s="43">
        <v>0</v>
      </c>
      <c r="H57" s="43">
        <v>0</v>
      </c>
      <c r="I57" s="43"/>
      <c r="J57" s="43"/>
      <c r="K57" s="43"/>
      <c r="L57" s="43"/>
      <c r="M57" s="43">
        <v>160</v>
      </c>
      <c r="N57" s="43">
        <v>0</v>
      </c>
      <c r="O57" s="43"/>
      <c r="P57" s="43"/>
      <c r="Q57" s="43"/>
      <c r="R57" s="43"/>
      <c r="S57" s="43"/>
      <c r="T57" s="43">
        <v>0</v>
      </c>
      <c r="U57" s="43"/>
      <c r="V57" s="43"/>
      <c r="W57" s="43"/>
      <c r="X57" s="43"/>
      <c r="Y57" s="43"/>
      <c r="Z57" s="43">
        <v>0</v>
      </c>
      <c r="AA57" s="43">
        <v>0</v>
      </c>
      <c r="AB57" s="43">
        <v>0</v>
      </c>
      <c r="AC57" s="43"/>
      <c r="AD57" s="43"/>
      <c r="AE57" s="43"/>
      <c r="AF57" s="43">
        <v>0</v>
      </c>
      <c r="AG57" s="121"/>
      <c r="AH57" s="121">
        <v>0</v>
      </c>
      <c r="AI57" s="121"/>
      <c r="AJ57" s="121"/>
      <c r="AK57" s="121"/>
      <c r="AL57" s="121">
        <v>0</v>
      </c>
      <c r="AM57" s="121"/>
      <c r="AN57" s="121"/>
      <c r="AO57" s="119">
        <f t="shared" si="0"/>
        <v>160</v>
      </c>
    </row>
    <row r="58" ht="14.25" spans="2:41">
      <c r="B58" s="118" t="s">
        <v>200</v>
      </c>
      <c r="C58" s="118" t="s">
        <v>201</v>
      </c>
      <c r="D58" s="65" t="s">
        <v>201</v>
      </c>
      <c r="E58" s="34">
        <v>0</v>
      </c>
      <c r="F58" s="34">
        <v>0</v>
      </c>
      <c r="G58" s="34">
        <v>0</v>
      </c>
      <c r="H58" s="34">
        <v>0</v>
      </c>
      <c r="I58" s="34"/>
      <c r="J58" s="34"/>
      <c r="K58" s="34"/>
      <c r="L58" s="34"/>
      <c r="M58" s="34">
        <v>0</v>
      </c>
      <c r="N58" s="34">
        <v>0</v>
      </c>
      <c r="O58" s="34"/>
      <c r="P58" s="34"/>
      <c r="Q58" s="34"/>
      <c r="R58" s="34"/>
      <c r="S58" s="34"/>
      <c r="T58" s="13">
        <v>0</v>
      </c>
      <c r="U58" s="14"/>
      <c r="V58" s="14"/>
      <c r="W58" s="14"/>
      <c r="X58" s="14">
        <v>0</v>
      </c>
      <c r="Y58" s="14">
        <v>0</v>
      </c>
      <c r="Z58" s="14"/>
      <c r="AA58" s="14"/>
      <c r="AB58" s="14"/>
      <c r="AC58" s="14">
        <v>0.4</v>
      </c>
      <c r="AD58" s="14">
        <v>0</v>
      </c>
      <c r="AE58" s="14"/>
      <c r="AF58" s="14">
        <v>0</v>
      </c>
      <c r="AG58" s="115">
        <v>0</v>
      </c>
      <c r="AH58" s="115">
        <v>0</v>
      </c>
      <c r="AI58" s="115"/>
      <c r="AJ58" s="115">
        <v>0</v>
      </c>
      <c r="AK58" s="115"/>
      <c r="AL58" s="115">
        <v>0</v>
      </c>
      <c r="AM58" s="115">
        <v>0</v>
      </c>
      <c r="AN58" s="115">
        <v>0.8</v>
      </c>
      <c r="AO58" s="119">
        <f t="shared" si="0"/>
        <v>1.2</v>
      </c>
    </row>
    <row r="59" ht="16.5" customHeight="1" spans="2:41">
      <c r="B59" s="118" t="s">
        <v>202</v>
      </c>
      <c r="C59" s="118" t="s">
        <v>203</v>
      </c>
      <c r="D59" s="65" t="s">
        <v>203</v>
      </c>
      <c r="E59" s="34">
        <v>0</v>
      </c>
      <c r="F59" s="34">
        <v>0</v>
      </c>
      <c r="G59" s="34">
        <v>0</v>
      </c>
      <c r="H59" s="34">
        <v>0</v>
      </c>
      <c r="I59" s="34"/>
      <c r="J59" s="34"/>
      <c r="K59" s="34"/>
      <c r="L59" s="34"/>
      <c r="M59" s="34">
        <v>0</v>
      </c>
      <c r="N59" s="34">
        <v>0</v>
      </c>
      <c r="O59" s="34"/>
      <c r="P59" s="34"/>
      <c r="Q59" s="34"/>
      <c r="R59" s="34"/>
      <c r="S59" s="34"/>
      <c r="T59" s="13">
        <v>0</v>
      </c>
      <c r="U59" s="14"/>
      <c r="V59" s="14"/>
      <c r="W59" s="14"/>
      <c r="X59" s="14">
        <v>0</v>
      </c>
      <c r="Y59" s="14">
        <v>0</v>
      </c>
      <c r="Z59" s="14"/>
      <c r="AA59" s="14"/>
      <c r="AB59" s="14"/>
      <c r="AC59" s="14">
        <v>6</v>
      </c>
      <c r="AD59" s="14">
        <v>102</v>
      </c>
      <c r="AE59" s="14"/>
      <c r="AF59" s="14">
        <v>0</v>
      </c>
      <c r="AG59" s="115">
        <v>0</v>
      </c>
      <c r="AH59" s="115">
        <v>0</v>
      </c>
      <c r="AI59" s="115"/>
      <c r="AJ59" s="115">
        <v>0</v>
      </c>
      <c r="AK59" s="115"/>
      <c r="AL59" s="115">
        <v>0</v>
      </c>
      <c r="AM59" s="115">
        <v>30</v>
      </c>
      <c r="AN59" s="115">
        <v>12</v>
      </c>
      <c r="AO59" s="119">
        <f t="shared" si="0"/>
        <v>150</v>
      </c>
    </row>
    <row r="60" ht="14.25" spans="2:41">
      <c r="B60" s="65" t="s">
        <v>204</v>
      </c>
      <c r="C60" s="118" t="s">
        <v>205</v>
      </c>
      <c r="D60" s="65" t="s">
        <v>205</v>
      </c>
      <c r="E60" s="34">
        <v>0</v>
      </c>
      <c r="F60" s="34">
        <v>0</v>
      </c>
      <c r="G60" s="34">
        <v>0</v>
      </c>
      <c r="H60" s="34">
        <v>0</v>
      </c>
      <c r="I60" s="34"/>
      <c r="J60" s="34"/>
      <c r="K60" s="34"/>
      <c r="L60" s="34"/>
      <c r="M60" s="34">
        <v>0</v>
      </c>
      <c r="N60" s="34">
        <v>0</v>
      </c>
      <c r="O60" s="34"/>
      <c r="P60" s="34"/>
      <c r="Q60" s="34"/>
      <c r="R60" s="34"/>
      <c r="S60" s="34"/>
      <c r="T60" s="13">
        <v>0</v>
      </c>
      <c r="U60" s="14"/>
      <c r="V60" s="14"/>
      <c r="W60" s="14"/>
      <c r="X60" s="14">
        <v>0</v>
      </c>
      <c r="Y60" s="14">
        <v>0</v>
      </c>
      <c r="Z60" s="14"/>
      <c r="AA60" s="14"/>
      <c r="AB60" s="14"/>
      <c r="AC60" s="14">
        <v>2</v>
      </c>
      <c r="AD60" s="14">
        <v>170</v>
      </c>
      <c r="AE60" s="14"/>
      <c r="AF60" s="14">
        <v>0</v>
      </c>
      <c r="AG60" s="115">
        <v>0</v>
      </c>
      <c r="AH60" s="115">
        <v>0</v>
      </c>
      <c r="AI60" s="115"/>
      <c r="AJ60" s="115">
        <v>0</v>
      </c>
      <c r="AK60" s="115"/>
      <c r="AL60" s="115">
        <v>0</v>
      </c>
      <c r="AM60" s="115">
        <v>50</v>
      </c>
      <c r="AN60" s="115">
        <v>4</v>
      </c>
      <c r="AO60" s="119">
        <f t="shared" si="0"/>
        <v>226</v>
      </c>
    </row>
    <row r="61" ht="14.25" spans="2:41">
      <c r="B61" s="118" t="s">
        <v>206</v>
      </c>
      <c r="C61" s="118" t="s">
        <v>207</v>
      </c>
      <c r="D61" s="65" t="s">
        <v>207</v>
      </c>
      <c r="E61" s="34">
        <v>0</v>
      </c>
      <c r="F61" s="34">
        <v>0</v>
      </c>
      <c r="G61" s="34">
        <v>0</v>
      </c>
      <c r="H61" s="34">
        <v>0</v>
      </c>
      <c r="I61" s="34"/>
      <c r="J61" s="34"/>
      <c r="K61" s="34"/>
      <c r="L61" s="34"/>
      <c r="M61" s="34">
        <v>0</v>
      </c>
      <c r="N61" s="34">
        <v>0</v>
      </c>
      <c r="O61" s="34"/>
      <c r="P61" s="34"/>
      <c r="Q61" s="34"/>
      <c r="R61" s="34"/>
      <c r="S61" s="34"/>
      <c r="T61" s="13">
        <v>0</v>
      </c>
      <c r="U61" s="14"/>
      <c r="V61" s="14"/>
      <c r="W61" s="14"/>
      <c r="X61" s="14">
        <v>0</v>
      </c>
      <c r="Y61" s="14">
        <v>0</v>
      </c>
      <c r="Z61" s="14"/>
      <c r="AA61" s="14"/>
      <c r="AB61" s="14"/>
      <c r="AC61" s="14">
        <v>4</v>
      </c>
      <c r="AD61" s="14">
        <v>136</v>
      </c>
      <c r="AE61" s="14"/>
      <c r="AF61" s="14">
        <v>0</v>
      </c>
      <c r="AG61" s="115">
        <v>0</v>
      </c>
      <c r="AH61" s="115">
        <v>0</v>
      </c>
      <c r="AI61" s="115"/>
      <c r="AJ61" s="115">
        <v>0</v>
      </c>
      <c r="AK61" s="115"/>
      <c r="AL61" s="115">
        <v>0</v>
      </c>
      <c r="AM61" s="115">
        <v>40</v>
      </c>
      <c r="AN61" s="115">
        <v>8</v>
      </c>
      <c r="AO61" s="119">
        <f t="shared" si="0"/>
        <v>188</v>
      </c>
    </row>
    <row r="62" ht="14.25" spans="2:41">
      <c r="B62" s="65" t="s">
        <v>208</v>
      </c>
      <c r="C62" s="118" t="s">
        <v>209</v>
      </c>
      <c r="D62" s="65" t="s">
        <v>210</v>
      </c>
      <c r="E62" s="34">
        <v>0</v>
      </c>
      <c r="F62" s="34">
        <v>0</v>
      </c>
      <c r="G62" s="34">
        <v>0</v>
      </c>
      <c r="H62" s="34">
        <v>0</v>
      </c>
      <c r="I62" s="34"/>
      <c r="J62" s="34"/>
      <c r="K62" s="34"/>
      <c r="L62" s="34"/>
      <c r="M62" s="34">
        <v>0</v>
      </c>
      <c r="N62" s="34">
        <v>0</v>
      </c>
      <c r="O62" s="34"/>
      <c r="P62" s="34"/>
      <c r="Q62" s="34"/>
      <c r="R62" s="34"/>
      <c r="S62" s="34"/>
      <c r="T62" s="13">
        <v>0</v>
      </c>
      <c r="U62" s="14"/>
      <c r="V62" s="14"/>
      <c r="W62" s="14"/>
      <c r="X62" s="14">
        <v>0</v>
      </c>
      <c r="Y62" s="14">
        <v>0</v>
      </c>
      <c r="Z62" s="14"/>
      <c r="AA62" s="14"/>
      <c r="AB62" s="14"/>
      <c r="AC62" s="14">
        <v>0</v>
      </c>
      <c r="AD62" s="14">
        <v>408</v>
      </c>
      <c r="AE62" s="14"/>
      <c r="AF62" s="14">
        <v>0</v>
      </c>
      <c r="AG62" s="115">
        <v>0</v>
      </c>
      <c r="AH62" s="115">
        <v>0</v>
      </c>
      <c r="AI62" s="115"/>
      <c r="AJ62" s="115">
        <v>0</v>
      </c>
      <c r="AK62" s="115"/>
      <c r="AL62" s="115">
        <v>0</v>
      </c>
      <c r="AM62" s="115">
        <v>120</v>
      </c>
      <c r="AN62" s="115">
        <v>16</v>
      </c>
      <c r="AO62" s="119">
        <f t="shared" si="0"/>
        <v>544</v>
      </c>
    </row>
    <row r="63" ht="14.25" spans="2:41">
      <c r="B63" s="65" t="s">
        <v>211</v>
      </c>
      <c r="C63" s="118" t="s">
        <v>212</v>
      </c>
      <c r="D63" s="65" t="s">
        <v>213</v>
      </c>
      <c r="E63" s="43"/>
      <c r="F63" s="43"/>
      <c r="G63" s="43"/>
      <c r="H63" s="43"/>
      <c r="I63" s="43"/>
      <c r="J63" s="43"/>
      <c r="K63" s="43"/>
      <c r="L63" s="43"/>
      <c r="M63" s="43"/>
      <c r="N63" s="43">
        <v>28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>
        <v>0</v>
      </c>
      <c r="AA63" s="43">
        <v>0</v>
      </c>
      <c r="AB63" s="43">
        <v>0</v>
      </c>
      <c r="AC63" s="43"/>
      <c r="AD63" s="43"/>
      <c r="AE63" s="43"/>
      <c r="AF63" s="43">
        <v>0</v>
      </c>
      <c r="AG63" s="121"/>
      <c r="AH63" s="121"/>
      <c r="AI63" s="121"/>
      <c r="AJ63" s="121"/>
      <c r="AK63" s="121"/>
      <c r="AL63" s="121">
        <v>0</v>
      </c>
      <c r="AM63" s="121"/>
      <c r="AN63" s="121"/>
      <c r="AO63" s="119">
        <f t="shared" si="0"/>
        <v>28</v>
      </c>
    </row>
    <row r="64" ht="14.25" spans="2:41">
      <c r="B64" s="65" t="s">
        <v>214</v>
      </c>
      <c r="C64" s="118" t="s">
        <v>215</v>
      </c>
      <c r="D64" s="65" t="s">
        <v>216</v>
      </c>
      <c r="E64" s="43"/>
      <c r="F64" s="43"/>
      <c r="G64" s="43">
        <v>0</v>
      </c>
      <c r="H64" s="43">
        <v>0</v>
      </c>
      <c r="I64" s="43"/>
      <c r="J64" s="43"/>
      <c r="K64" s="43"/>
      <c r="L64" s="43"/>
      <c r="M64" s="43">
        <v>0</v>
      </c>
      <c r="N64" s="43">
        <v>0</v>
      </c>
      <c r="O64" s="43"/>
      <c r="P64" s="43"/>
      <c r="Q64" s="43"/>
      <c r="R64" s="43"/>
      <c r="S64" s="43"/>
      <c r="T64" s="43">
        <v>120</v>
      </c>
      <c r="U64" s="43"/>
      <c r="V64" s="43"/>
      <c r="W64" s="43"/>
      <c r="X64" s="43"/>
      <c r="Y64" s="43"/>
      <c r="Z64" s="43">
        <v>0</v>
      </c>
      <c r="AA64" s="43">
        <v>0</v>
      </c>
      <c r="AB64" s="43"/>
      <c r="AC64" s="43"/>
      <c r="AD64" s="43"/>
      <c r="AE64" s="43"/>
      <c r="AF64" s="43">
        <v>0</v>
      </c>
      <c r="AG64" s="121"/>
      <c r="AH64" s="121">
        <v>0</v>
      </c>
      <c r="AI64" s="121"/>
      <c r="AJ64" s="121"/>
      <c r="AK64" s="121"/>
      <c r="AL64" s="121">
        <v>0</v>
      </c>
      <c r="AM64" s="121"/>
      <c r="AN64" s="121"/>
      <c r="AO64" s="119">
        <f t="shared" si="0"/>
        <v>120</v>
      </c>
    </row>
    <row r="65" ht="14.25" spans="2:41">
      <c r="B65" s="65" t="s">
        <v>217</v>
      </c>
      <c r="C65" s="118" t="s">
        <v>218</v>
      </c>
      <c r="D65" s="65" t="s">
        <v>219</v>
      </c>
      <c r="E65" s="43"/>
      <c r="F65" s="43"/>
      <c r="G65" s="43">
        <v>0</v>
      </c>
      <c r="H65" s="43">
        <v>0</v>
      </c>
      <c r="I65" s="43"/>
      <c r="J65" s="43"/>
      <c r="K65" s="43"/>
      <c r="L65" s="43"/>
      <c r="M65" s="43">
        <v>0</v>
      </c>
      <c r="N65" s="43">
        <v>0</v>
      </c>
      <c r="O65" s="43"/>
      <c r="P65" s="43"/>
      <c r="Q65" s="43"/>
      <c r="R65" s="43"/>
      <c r="S65" s="43"/>
      <c r="T65" s="43">
        <v>0</v>
      </c>
      <c r="U65" s="43"/>
      <c r="V65" s="43"/>
      <c r="W65" s="43"/>
      <c r="X65" s="43"/>
      <c r="Y65" s="43"/>
      <c r="Z65" s="43">
        <v>13</v>
      </c>
      <c r="AA65" s="43">
        <v>6.5</v>
      </c>
      <c r="AB65" s="43">
        <v>34.5</v>
      </c>
      <c r="AC65" s="43"/>
      <c r="AD65" s="43"/>
      <c r="AE65" s="43"/>
      <c r="AF65" s="43">
        <v>0</v>
      </c>
      <c r="AG65" s="121"/>
      <c r="AH65" s="121">
        <v>0</v>
      </c>
      <c r="AI65" s="121"/>
      <c r="AJ65" s="121"/>
      <c r="AK65" s="121"/>
      <c r="AL65" s="121">
        <v>0</v>
      </c>
      <c r="AM65" s="121"/>
      <c r="AN65" s="121"/>
      <c r="AO65" s="119">
        <f t="shared" si="0"/>
        <v>54</v>
      </c>
    </row>
    <row r="66" ht="14.25" spans="2:41">
      <c r="B66" s="118" t="s">
        <v>220</v>
      </c>
      <c r="C66" s="118" t="s">
        <v>221</v>
      </c>
      <c r="D66" s="65" t="s">
        <v>222</v>
      </c>
      <c r="E66" s="43"/>
      <c r="F66" s="43"/>
      <c r="G66" s="43"/>
      <c r="H66" s="43"/>
      <c r="I66" s="43"/>
      <c r="J66" s="43"/>
      <c r="K66" s="43"/>
      <c r="L66" s="43"/>
      <c r="M66" s="43"/>
      <c r="N66" s="43"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>
        <v>13</v>
      </c>
      <c r="AA66" s="43">
        <v>19.5</v>
      </c>
      <c r="AB66" s="43">
        <v>57.5</v>
      </c>
      <c r="AC66" s="43"/>
      <c r="AD66" s="43"/>
      <c r="AE66" s="43"/>
      <c r="AF66" s="43">
        <v>0</v>
      </c>
      <c r="AG66" s="121"/>
      <c r="AH66" s="121"/>
      <c r="AI66" s="121"/>
      <c r="AJ66" s="121"/>
      <c r="AK66" s="121"/>
      <c r="AL66" s="121">
        <v>0</v>
      </c>
      <c r="AM66" s="121"/>
      <c r="AN66" s="121"/>
      <c r="AO66" s="119">
        <f t="shared" si="0"/>
        <v>90</v>
      </c>
    </row>
    <row r="67" ht="14.25" spans="2:41">
      <c r="B67" s="65" t="s">
        <v>223</v>
      </c>
      <c r="C67" s="118" t="s">
        <v>224</v>
      </c>
      <c r="D67" s="65" t="s">
        <v>225</v>
      </c>
      <c r="E67" s="34"/>
      <c r="F67" s="34"/>
      <c r="G67" s="34">
        <v>0</v>
      </c>
      <c r="H67" s="34">
        <v>0</v>
      </c>
      <c r="I67" s="34"/>
      <c r="J67" s="34"/>
      <c r="K67" s="34"/>
      <c r="L67" s="34"/>
      <c r="M67" s="34">
        <v>0</v>
      </c>
      <c r="N67" s="34">
        <v>0</v>
      </c>
      <c r="O67" s="34"/>
      <c r="P67" s="34"/>
      <c r="Q67" s="34"/>
      <c r="R67" s="34"/>
      <c r="S67" s="34"/>
      <c r="T67" s="34">
        <v>0</v>
      </c>
      <c r="U67" s="43"/>
      <c r="V67" s="43"/>
      <c r="W67" s="43"/>
      <c r="X67" s="43"/>
      <c r="Y67" s="43"/>
      <c r="Z67" s="43">
        <v>0</v>
      </c>
      <c r="AA67" s="43">
        <v>0</v>
      </c>
      <c r="AB67" s="43">
        <v>625</v>
      </c>
      <c r="AC67" s="43"/>
      <c r="AD67" s="43"/>
      <c r="AE67" s="43"/>
      <c r="AF67" s="43">
        <v>0</v>
      </c>
      <c r="AG67" s="121"/>
      <c r="AH67" s="121">
        <v>0</v>
      </c>
      <c r="AI67" s="121"/>
      <c r="AJ67" s="121"/>
      <c r="AK67" s="121"/>
      <c r="AL67" s="121">
        <v>0</v>
      </c>
      <c r="AM67" s="121"/>
      <c r="AN67" s="121"/>
      <c r="AO67" s="119">
        <f t="shared" si="0"/>
        <v>625</v>
      </c>
    </row>
    <row r="68" ht="14.25" spans="2:41">
      <c r="B68" s="118" t="s">
        <v>226</v>
      </c>
      <c r="C68" s="118" t="s">
        <v>227</v>
      </c>
      <c r="D68" s="65">
        <v>755</v>
      </c>
      <c r="E68" s="43"/>
      <c r="F68" s="43"/>
      <c r="G68" s="43">
        <v>20</v>
      </c>
      <c r="H68" s="43">
        <v>9</v>
      </c>
      <c r="I68" s="43"/>
      <c r="J68" s="43"/>
      <c r="K68" s="43"/>
      <c r="L68" s="43"/>
      <c r="M68" s="43"/>
      <c r="N68" s="43"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>
        <v>0</v>
      </c>
      <c r="AA68" s="43">
        <v>0</v>
      </c>
      <c r="AB68" s="43">
        <v>0</v>
      </c>
      <c r="AC68" s="43"/>
      <c r="AD68" s="43"/>
      <c r="AE68" s="43"/>
      <c r="AF68" s="43">
        <v>0</v>
      </c>
      <c r="AG68" s="121"/>
      <c r="AH68" s="121">
        <v>21</v>
      </c>
      <c r="AI68" s="121"/>
      <c r="AJ68" s="121"/>
      <c r="AK68" s="121"/>
      <c r="AL68" s="121">
        <v>0</v>
      </c>
      <c r="AM68" s="121"/>
      <c r="AN68" s="121"/>
      <c r="AO68" s="119">
        <f t="shared" si="0"/>
        <v>50</v>
      </c>
    </row>
    <row r="69" ht="14.25" spans="2:41">
      <c r="B69" s="65" t="s">
        <v>228</v>
      </c>
      <c r="C69" s="118" t="s">
        <v>229</v>
      </c>
      <c r="D69" s="65" t="s">
        <v>230</v>
      </c>
      <c r="E69" s="34"/>
      <c r="F69" s="34"/>
      <c r="G69" s="34">
        <v>0</v>
      </c>
      <c r="H69" s="34">
        <v>0</v>
      </c>
      <c r="I69" s="34"/>
      <c r="J69" s="34"/>
      <c r="K69" s="34"/>
      <c r="L69" s="34"/>
      <c r="M69" s="34">
        <v>2</v>
      </c>
      <c r="N69" s="34">
        <v>2.87</v>
      </c>
      <c r="O69" s="34"/>
      <c r="P69" s="34"/>
      <c r="Q69" s="34"/>
      <c r="R69" s="34"/>
      <c r="S69" s="34"/>
      <c r="T69" s="34">
        <v>0</v>
      </c>
      <c r="U69" s="43"/>
      <c r="V69" s="43"/>
      <c r="W69" s="43"/>
      <c r="X69" s="43"/>
      <c r="Y69" s="43"/>
      <c r="Z69" s="43">
        <v>0</v>
      </c>
      <c r="AA69" s="43">
        <v>0</v>
      </c>
      <c r="AB69" s="43">
        <v>0</v>
      </c>
      <c r="AC69" s="43"/>
      <c r="AD69" s="43"/>
      <c r="AE69" s="43"/>
      <c r="AF69" s="43">
        <v>0</v>
      </c>
      <c r="AG69" s="121"/>
      <c r="AH69" s="121">
        <v>0</v>
      </c>
      <c r="AI69" s="121"/>
      <c r="AJ69" s="121"/>
      <c r="AK69" s="121"/>
      <c r="AL69" s="121">
        <v>0</v>
      </c>
      <c r="AM69" s="121"/>
      <c r="AN69" s="121"/>
      <c r="AO69" s="119">
        <f t="shared" si="0"/>
        <v>4.87</v>
      </c>
    </row>
    <row r="70" ht="14.25" spans="2:41">
      <c r="B70" s="65" t="s">
        <v>231</v>
      </c>
      <c r="C70" s="118" t="s">
        <v>232</v>
      </c>
      <c r="D70" s="65" t="s">
        <v>232</v>
      </c>
      <c r="E70" s="34">
        <v>37.5</v>
      </c>
      <c r="F70" s="34">
        <v>0</v>
      </c>
      <c r="G70" s="34">
        <v>8</v>
      </c>
      <c r="H70" s="34">
        <v>1.2</v>
      </c>
      <c r="I70" s="34"/>
      <c r="J70" s="34"/>
      <c r="K70" s="34"/>
      <c r="L70" s="34"/>
      <c r="M70" s="34">
        <v>0</v>
      </c>
      <c r="N70" s="34">
        <v>10</v>
      </c>
      <c r="O70" s="34"/>
      <c r="P70" s="34"/>
      <c r="Q70" s="34"/>
      <c r="R70" s="34"/>
      <c r="S70" s="34"/>
      <c r="T70" s="34">
        <v>26</v>
      </c>
      <c r="U70" s="14"/>
      <c r="V70" s="14"/>
      <c r="W70" s="14"/>
      <c r="X70" s="14"/>
      <c r="Y70" s="14"/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/>
      <c r="AF70" s="14">
        <v>0</v>
      </c>
      <c r="AG70" s="115">
        <v>12.5</v>
      </c>
      <c r="AH70" s="115">
        <v>2.8</v>
      </c>
      <c r="AI70" s="120">
        <v>4</v>
      </c>
      <c r="AJ70" s="115"/>
      <c r="AK70" s="115"/>
      <c r="AL70" s="115">
        <v>0</v>
      </c>
      <c r="AM70" s="115"/>
      <c r="AN70" s="115">
        <v>0</v>
      </c>
      <c r="AO70" s="119">
        <f t="shared" ref="AO70:AO107" si="1">SUM(E70:AN70)</f>
        <v>102</v>
      </c>
    </row>
    <row r="71" ht="14.25" spans="2:41">
      <c r="B71" s="118" t="s">
        <v>233</v>
      </c>
      <c r="C71" s="118" t="s">
        <v>234</v>
      </c>
      <c r="D71" s="65" t="s">
        <v>235</v>
      </c>
      <c r="E71" s="43"/>
      <c r="F71" s="43"/>
      <c r="G71" s="43">
        <v>0</v>
      </c>
      <c r="H71" s="43">
        <v>0</v>
      </c>
      <c r="I71" s="43"/>
      <c r="J71" s="43"/>
      <c r="K71" s="43"/>
      <c r="L71" s="43"/>
      <c r="M71" s="43">
        <v>0</v>
      </c>
      <c r="N71" s="43">
        <v>150</v>
      </c>
      <c r="O71" s="43"/>
      <c r="P71" s="43"/>
      <c r="Q71" s="43"/>
      <c r="R71" s="43"/>
      <c r="S71" s="43"/>
      <c r="T71" s="43">
        <v>0</v>
      </c>
      <c r="U71" s="43"/>
      <c r="V71" s="43"/>
      <c r="W71" s="43"/>
      <c r="X71" s="43"/>
      <c r="Y71" s="43"/>
      <c r="Z71" s="43">
        <v>0</v>
      </c>
      <c r="AA71" s="43">
        <v>0</v>
      </c>
      <c r="AB71" s="43">
        <v>0</v>
      </c>
      <c r="AC71" s="43"/>
      <c r="AD71" s="43"/>
      <c r="AE71" s="43"/>
      <c r="AF71" s="43">
        <v>0</v>
      </c>
      <c r="AG71" s="121"/>
      <c r="AH71" s="121">
        <v>0</v>
      </c>
      <c r="AI71" s="121"/>
      <c r="AJ71" s="121"/>
      <c r="AK71" s="121"/>
      <c r="AL71" s="121">
        <v>0</v>
      </c>
      <c r="AM71" s="121"/>
      <c r="AN71" s="121"/>
      <c r="AO71" s="119">
        <f t="shared" si="1"/>
        <v>150</v>
      </c>
    </row>
    <row r="72" ht="14.25" spans="2:41">
      <c r="B72" s="118" t="s">
        <v>236</v>
      </c>
      <c r="C72" s="118" t="s">
        <v>237</v>
      </c>
      <c r="D72" s="65" t="s">
        <v>238</v>
      </c>
      <c r="E72" s="43"/>
      <c r="F72" s="43"/>
      <c r="G72" s="43"/>
      <c r="H72" s="43"/>
      <c r="I72" s="43"/>
      <c r="J72" s="43"/>
      <c r="K72" s="43"/>
      <c r="L72" s="43"/>
      <c r="M72" s="43"/>
      <c r="N72" s="43">
        <v>40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>
        <v>0</v>
      </c>
      <c r="AA72" s="43">
        <v>0</v>
      </c>
      <c r="AB72" s="43">
        <v>0</v>
      </c>
      <c r="AC72" s="43"/>
      <c r="AD72" s="43"/>
      <c r="AE72" s="43"/>
      <c r="AF72" s="43">
        <v>0</v>
      </c>
      <c r="AG72" s="121"/>
      <c r="AH72" s="121"/>
      <c r="AI72" s="121"/>
      <c r="AJ72" s="121"/>
      <c r="AK72" s="121"/>
      <c r="AL72" s="121">
        <v>0</v>
      </c>
      <c r="AM72" s="121"/>
      <c r="AN72" s="121"/>
      <c r="AO72" s="119">
        <f t="shared" si="1"/>
        <v>40</v>
      </c>
    </row>
    <row r="73" ht="14.25" spans="2:41">
      <c r="B73" s="65" t="s">
        <v>239</v>
      </c>
      <c r="C73" s="118" t="s">
        <v>240</v>
      </c>
      <c r="D73" s="65" t="s">
        <v>240</v>
      </c>
      <c r="E73" s="34"/>
      <c r="F73" s="34"/>
      <c r="G73" s="34">
        <v>80</v>
      </c>
      <c r="H73" s="34">
        <v>12</v>
      </c>
      <c r="I73" s="34"/>
      <c r="J73" s="34"/>
      <c r="K73" s="34"/>
      <c r="L73" s="34"/>
      <c r="M73" s="34">
        <v>0</v>
      </c>
      <c r="N73" s="34">
        <v>160</v>
      </c>
      <c r="O73" s="34"/>
      <c r="P73" s="34"/>
      <c r="Q73" s="34"/>
      <c r="R73" s="34"/>
      <c r="S73" s="34"/>
      <c r="T73" s="34">
        <v>240</v>
      </c>
      <c r="U73" s="43"/>
      <c r="V73" s="43"/>
      <c r="W73" s="43"/>
      <c r="X73" s="43"/>
      <c r="Y73" s="43"/>
      <c r="Z73" s="43">
        <v>0</v>
      </c>
      <c r="AA73" s="43">
        <v>0</v>
      </c>
      <c r="AB73" s="43">
        <v>40</v>
      </c>
      <c r="AC73" s="43"/>
      <c r="AD73" s="43"/>
      <c r="AE73" s="43"/>
      <c r="AF73" s="43">
        <v>0</v>
      </c>
      <c r="AG73" s="121"/>
      <c r="AH73" s="121">
        <v>28</v>
      </c>
      <c r="AI73" s="122">
        <v>20</v>
      </c>
      <c r="AJ73" s="121"/>
      <c r="AK73" s="121"/>
      <c r="AL73" s="121">
        <v>0</v>
      </c>
      <c r="AM73" s="121"/>
      <c r="AN73" s="121"/>
      <c r="AO73" s="119">
        <f t="shared" si="1"/>
        <v>580</v>
      </c>
    </row>
    <row r="74" ht="14.25" spans="2:41">
      <c r="B74" s="65" t="s">
        <v>241</v>
      </c>
      <c r="C74" s="118" t="s">
        <v>242</v>
      </c>
      <c r="D74" s="65" t="s">
        <v>243</v>
      </c>
      <c r="E74" s="43"/>
      <c r="F74" s="43"/>
      <c r="G74" s="43">
        <v>0</v>
      </c>
      <c r="H74" s="43">
        <v>0</v>
      </c>
      <c r="I74" s="43"/>
      <c r="J74" s="43"/>
      <c r="K74" s="43"/>
      <c r="L74" s="43"/>
      <c r="M74" s="43">
        <v>0</v>
      </c>
      <c r="N74" s="43">
        <v>0</v>
      </c>
      <c r="O74" s="43"/>
      <c r="P74" s="43"/>
      <c r="Q74" s="43"/>
      <c r="R74" s="43"/>
      <c r="S74" s="43"/>
      <c r="T74" s="43">
        <v>0</v>
      </c>
      <c r="U74" s="43"/>
      <c r="V74" s="43"/>
      <c r="W74" s="43"/>
      <c r="X74" s="43"/>
      <c r="Y74" s="43"/>
      <c r="Z74" s="43">
        <v>18</v>
      </c>
      <c r="AA74" s="43">
        <v>0</v>
      </c>
      <c r="AB74" s="43">
        <v>0</v>
      </c>
      <c r="AC74" s="43"/>
      <c r="AD74" s="43"/>
      <c r="AE74" s="43"/>
      <c r="AF74" s="43">
        <v>0</v>
      </c>
      <c r="AG74" s="121"/>
      <c r="AH74" s="121">
        <v>0</v>
      </c>
      <c r="AI74" s="121"/>
      <c r="AJ74" s="121"/>
      <c r="AK74" s="121"/>
      <c r="AL74" s="121">
        <v>0</v>
      </c>
      <c r="AM74" s="121"/>
      <c r="AN74" s="121"/>
      <c r="AO74" s="119">
        <f t="shared" si="1"/>
        <v>18</v>
      </c>
    </row>
    <row r="75" ht="14.25" spans="2:41">
      <c r="B75" s="65" t="s">
        <v>244</v>
      </c>
      <c r="C75" s="118" t="s">
        <v>245</v>
      </c>
      <c r="D75" s="65" t="s">
        <v>246</v>
      </c>
      <c r="E75" s="43"/>
      <c r="F75" s="43"/>
      <c r="G75" s="43">
        <v>0</v>
      </c>
      <c r="H75" s="43">
        <v>0</v>
      </c>
      <c r="I75" s="43"/>
      <c r="J75" s="43"/>
      <c r="K75" s="43"/>
      <c r="L75" s="43"/>
      <c r="M75" s="43"/>
      <c r="N75" s="43">
        <v>0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>
        <v>0</v>
      </c>
      <c r="AA75" s="43">
        <v>0</v>
      </c>
      <c r="AB75" s="43">
        <v>0</v>
      </c>
      <c r="AC75" s="43"/>
      <c r="AD75" s="43"/>
      <c r="AE75" s="43"/>
      <c r="AF75" s="43">
        <v>30</v>
      </c>
      <c r="AG75" s="121"/>
      <c r="AH75" s="121">
        <v>0</v>
      </c>
      <c r="AI75" s="121"/>
      <c r="AJ75" s="121"/>
      <c r="AK75" s="121"/>
      <c r="AL75" s="121">
        <v>6</v>
      </c>
      <c r="AM75" s="121"/>
      <c r="AN75" s="121"/>
      <c r="AO75" s="119">
        <f t="shared" si="1"/>
        <v>36</v>
      </c>
    </row>
    <row r="76" ht="14.25" spans="2:41">
      <c r="B76" s="65" t="s">
        <v>247</v>
      </c>
      <c r="C76" s="118" t="s">
        <v>248</v>
      </c>
      <c r="D76" s="65" t="s">
        <v>249</v>
      </c>
      <c r="E76" s="43"/>
      <c r="F76" s="43"/>
      <c r="G76" s="43">
        <v>0</v>
      </c>
      <c r="H76" s="43">
        <v>9</v>
      </c>
      <c r="I76" s="43"/>
      <c r="J76" s="43"/>
      <c r="K76" s="43"/>
      <c r="L76" s="43"/>
      <c r="M76" s="43"/>
      <c r="N76" s="43">
        <v>110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>
        <v>0</v>
      </c>
      <c r="AA76" s="43">
        <v>0</v>
      </c>
      <c r="AB76" s="43">
        <v>0</v>
      </c>
      <c r="AC76" s="43"/>
      <c r="AD76" s="43"/>
      <c r="AE76" s="43"/>
      <c r="AF76" s="43">
        <v>0</v>
      </c>
      <c r="AG76" s="121"/>
      <c r="AH76" s="121">
        <v>21</v>
      </c>
      <c r="AI76" s="121"/>
      <c r="AJ76" s="121"/>
      <c r="AK76" s="121"/>
      <c r="AL76" s="121">
        <v>0</v>
      </c>
      <c r="AM76" s="121"/>
      <c r="AN76" s="121"/>
      <c r="AO76" s="119">
        <f t="shared" si="1"/>
        <v>140</v>
      </c>
    </row>
    <row r="77" ht="14.25" spans="2:41">
      <c r="B77" s="65" t="s">
        <v>250</v>
      </c>
      <c r="C77" s="118" t="s">
        <v>251</v>
      </c>
      <c r="D77" s="65" t="s">
        <v>252</v>
      </c>
      <c r="E77" s="43"/>
      <c r="F77" s="43"/>
      <c r="G77" s="43">
        <v>0</v>
      </c>
      <c r="H77" s="43">
        <v>0</v>
      </c>
      <c r="I77" s="43"/>
      <c r="J77" s="43"/>
      <c r="K77" s="43"/>
      <c r="L77" s="43"/>
      <c r="M77" s="43">
        <v>0</v>
      </c>
      <c r="N77" s="43">
        <v>0</v>
      </c>
      <c r="O77" s="43"/>
      <c r="P77" s="43"/>
      <c r="Q77" s="43"/>
      <c r="R77" s="43"/>
      <c r="S77" s="43"/>
      <c r="T77" s="43">
        <v>0</v>
      </c>
      <c r="U77" s="43"/>
      <c r="V77" s="43"/>
      <c r="W77" s="43"/>
      <c r="X77" s="43"/>
      <c r="Y77" s="43"/>
      <c r="Z77" s="43">
        <v>15</v>
      </c>
      <c r="AA77" s="43">
        <v>13</v>
      </c>
      <c r="AB77" s="43">
        <v>56</v>
      </c>
      <c r="AC77" s="43"/>
      <c r="AD77" s="43"/>
      <c r="AE77" s="43"/>
      <c r="AF77" s="43">
        <v>0</v>
      </c>
      <c r="AG77" s="121"/>
      <c r="AH77" s="121">
        <v>0</v>
      </c>
      <c r="AI77" s="121"/>
      <c r="AJ77" s="121"/>
      <c r="AK77" s="121"/>
      <c r="AL77" s="121">
        <v>0</v>
      </c>
      <c r="AM77" s="121"/>
      <c r="AN77" s="121"/>
      <c r="AO77" s="119">
        <f t="shared" si="1"/>
        <v>84</v>
      </c>
    </row>
    <row r="78" ht="14.25" spans="2:41">
      <c r="B78" s="118" t="s">
        <v>253</v>
      </c>
      <c r="C78" s="118" t="s">
        <v>254</v>
      </c>
      <c r="D78" s="65" t="s">
        <v>255</v>
      </c>
      <c r="E78" s="43"/>
      <c r="F78" s="43"/>
      <c r="G78" s="43">
        <v>0</v>
      </c>
      <c r="H78" s="43">
        <v>0</v>
      </c>
      <c r="I78" s="43"/>
      <c r="J78" s="43"/>
      <c r="K78" s="43"/>
      <c r="L78" s="43"/>
      <c r="M78" s="43">
        <v>0</v>
      </c>
      <c r="N78" s="43">
        <v>0</v>
      </c>
      <c r="O78" s="43"/>
      <c r="P78" s="43"/>
      <c r="Q78" s="43"/>
      <c r="R78" s="43"/>
      <c r="S78" s="43"/>
      <c r="T78" s="34">
        <v>0</v>
      </c>
      <c r="U78" s="43"/>
      <c r="V78" s="43"/>
      <c r="W78" s="43"/>
      <c r="X78" s="43"/>
      <c r="Y78" s="43"/>
      <c r="Z78" s="43">
        <v>0</v>
      </c>
      <c r="AA78" s="43">
        <v>0</v>
      </c>
      <c r="AB78" s="43">
        <v>120</v>
      </c>
      <c r="AC78" s="43"/>
      <c r="AD78" s="43"/>
      <c r="AE78" s="43"/>
      <c r="AF78" s="43">
        <v>0</v>
      </c>
      <c r="AG78" s="121"/>
      <c r="AH78" s="121">
        <v>0</v>
      </c>
      <c r="AI78" s="121"/>
      <c r="AJ78" s="121"/>
      <c r="AK78" s="121"/>
      <c r="AL78" s="121">
        <v>0</v>
      </c>
      <c r="AM78" s="121"/>
      <c r="AN78" s="121"/>
      <c r="AO78" s="119">
        <f t="shared" si="1"/>
        <v>120</v>
      </c>
    </row>
    <row r="79" ht="14.25" spans="2:41">
      <c r="B79" s="65" t="s">
        <v>256</v>
      </c>
      <c r="C79" s="118" t="s">
        <v>257</v>
      </c>
      <c r="D79" s="65" t="s">
        <v>258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>
        <v>5</v>
      </c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121"/>
      <c r="AH79" s="121"/>
      <c r="AI79" s="121"/>
      <c r="AJ79" s="121"/>
      <c r="AK79" s="121">
        <v>1</v>
      </c>
      <c r="AL79" s="121"/>
      <c r="AM79" s="121"/>
      <c r="AN79" s="121"/>
      <c r="AO79" s="119">
        <f t="shared" si="1"/>
        <v>6</v>
      </c>
    </row>
    <row r="80" ht="14.25" spans="2:41">
      <c r="B80" s="65" t="s">
        <v>259</v>
      </c>
      <c r="C80" s="118" t="s">
        <v>260</v>
      </c>
      <c r="D80" s="65" t="s">
        <v>261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>
        <v>255</v>
      </c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121"/>
      <c r="AH80" s="121"/>
      <c r="AI80" s="121"/>
      <c r="AJ80" s="121"/>
      <c r="AK80" s="121">
        <v>51</v>
      </c>
      <c r="AL80" s="121"/>
      <c r="AM80" s="121"/>
      <c r="AN80" s="121"/>
      <c r="AO80" s="119">
        <f t="shared" si="1"/>
        <v>306</v>
      </c>
    </row>
    <row r="81" ht="14.25" spans="1:41">
      <c r="B81" s="65" t="s">
        <v>262</v>
      </c>
      <c r="C81" s="118" t="s">
        <v>263</v>
      </c>
      <c r="D81" s="65" t="s">
        <v>263</v>
      </c>
      <c r="E81" s="34">
        <v>0</v>
      </c>
      <c r="F81" s="34">
        <v>0</v>
      </c>
      <c r="G81" s="34">
        <v>0</v>
      </c>
      <c r="H81" s="34">
        <v>0</v>
      </c>
      <c r="I81" s="34"/>
      <c r="J81" s="34"/>
      <c r="K81" s="34"/>
      <c r="L81" s="34"/>
      <c r="M81" s="34">
        <v>0</v>
      </c>
      <c r="N81" s="34">
        <v>0</v>
      </c>
      <c r="O81" s="34"/>
      <c r="P81" s="34"/>
      <c r="Q81" s="34"/>
      <c r="R81" s="34"/>
      <c r="S81" s="34"/>
      <c r="T81" s="13">
        <v>30</v>
      </c>
      <c r="U81" s="14"/>
      <c r="V81" s="14"/>
      <c r="W81" s="14"/>
      <c r="X81" s="14">
        <v>0</v>
      </c>
      <c r="Y81" s="14">
        <v>0</v>
      </c>
      <c r="Z81" s="14"/>
      <c r="AA81" s="14"/>
      <c r="AB81" s="14"/>
      <c r="AC81" s="14">
        <v>44.4</v>
      </c>
      <c r="AD81" s="14">
        <v>1396</v>
      </c>
      <c r="AE81" s="14"/>
      <c r="AF81" s="14">
        <v>445</v>
      </c>
      <c r="AG81" s="115">
        <v>0</v>
      </c>
      <c r="AH81" s="115">
        <v>0</v>
      </c>
      <c r="AI81" s="115"/>
      <c r="AJ81" s="115">
        <v>0</v>
      </c>
      <c r="AK81" s="115"/>
      <c r="AL81" s="115">
        <v>89</v>
      </c>
      <c r="AM81" s="115">
        <v>342</v>
      </c>
      <c r="AN81" s="115">
        <v>0</v>
      </c>
      <c r="AO81" s="119">
        <f t="shared" si="1"/>
        <v>2346.4</v>
      </c>
    </row>
    <row r="82" s="109" customFormat="1" ht="14.25" spans="1:41">
      <c r="A82" s="109">
        <v>53.318</v>
      </c>
      <c r="B82" s="129" t="s">
        <v>264</v>
      </c>
      <c r="C82" s="123" t="s">
        <v>265</v>
      </c>
      <c r="D82" s="124" t="s">
        <v>266</v>
      </c>
      <c r="E82" s="121"/>
      <c r="F82" s="121">
        <v>8560</v>
      </c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5">
        <f t="shared" si="1"/>
        <v>8560</v>
      </c>
    </row>
    <row r="83" s="109" customFormat="1" ht="14.25" spans="1:41">
      <c r="A83" s="109">
        <v>17.425</v>
      </c>
      <c r="B83" s="129" t="s">
        <v>267</v>
      </c>
      <c r="C83" s="123" t="s">
        <v>268</v>
      </c>
      <c r="D83" s="124" t="s">
        <v>269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>
        <v>500</v>
      </c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5">
        <f t="shared" si="1"/>
        <v>500</v>
      </c>
    </row>
    <row r="84" s="109" customFormat="1" ht="14.25" spans="1:41">
      <c r="A84" s="109">
        <v>6.757</v>
      </c>
      <c r="B84" s="129" t="s">
        <v>270</v>
      </c>
      <c r="C84" s="123" t="s">
        <v>271</v>
      </c>
      <c r="D84" s="124" t="s">
        <v>272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>
        <v>3600</v>
      </c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5">
        <f t="shared" si="1"/>
        <v>3600</v>
      </c>
    </row>
    <row r="85" s="109" customFormat="1" ht="14.25" spans="1:41">
      <c r="A85" s="109">
        <v>38.758</v>
      </c>
      <c r="B85" s="129" t="s">
        <v>273</v>
      </c>
      <c r="C85" s="123" t="s">
        <v>274</v>
      </c>
      <c r="D85" s="124" t="s">
        <v>275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>
        <v>5650</v>
      </c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5">
        <f t="shared" si="1"/>
        <v>5650</v>
      </c>
    </row>
    <row r="86" s="109" customFormat="1" ht="14.25" spans="1:41">
      <c r="A86" s="109">
        <v>27.395</v>
      </c>
      <c r="B86" s="129" t="s">
        <v>276</v>
      </c>
      <c r="C86" s="123" t="s">
        <v>277</v>
      </c>
      <c r="D86" s="124" t="s">
        <v>278</v>
      </c>
      <c r="E86" s="121"/>
      <c r="F86" s="121"/>
      <c r="G86" s="121"/>
      <c r="H86" s="121"/>
      <c r="I86" s="121"/>
      <c r="J86" s="121">
        <v>3740</v>
      </c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5">
        <f t="shared" si="1"/>
        <v>3740</v>
      </c>
    </row>
    <row r="87" s="109" customFormat="1" ht="14.25" spans="1:41">
      <c r="A87" s="109">
        <v>184.545</v>
      </c>
      <c r="B87" s="129" t="s">
        <v>279</v>
      </c>
      <c r="C87" s="123" t="s">
        <v>280</v>
      </c>
      <c r="D87" s="124" t="s">
        <v>281</v>
      </c>
      <c r="E87" s="121"/>
      <c r="F87" s="121"/>
      <c r="G87" s="121"/>
      <c r="H87" s="121"/>
      <c r="I87" s="121">
        <v>400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5">
        <f t="shared" si="1"/>
        <v>400</v>
      </c>
    </row>
    <row r="88" s="109" customFormat="1" ht="14.25" spans="1:41">
      <c r="A88" s="109">
        <v>11.417</v>
      </c>
      <c r="B88" s="130" t="s">
        <v>282</v>
      </c>
      <c r="C88" s="126" t="s">
        <v>283</v>
      </c>
      <c r="D88" s="126" t="s">
        <v>284</v>
      </c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>
        <v>2533</v>
      </c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5">
        <f t="shared" si="1"/>
        <v>2533</v>
      </c>
    </row>
    <row r="89" s="109" customFormat="1" ht="14.25" spans="1:41">
      <c r="A89" s="109">
        <v>19.86</v>
      </c>
      <c r="B89" s="129" t="s">
        <v>285</v>
      </c>
      <c r="C89" s="123" t="s">
        <v>286</v>
      </c>
      <c r="D89" s="124" t="s">
        <v>287</v>
      </c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>
        <v>500</v>
      </c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5">
        <f t="shared" si="1"/>
        <v>500</v>
      </c>
    </row>
    <row r="90" s="109" customFormat="1" ht="14.25" spans="1:41">
      <c r="A90" s="109">
        <v>34.64</v>
      </c>
      <c r="B90" s="129" t="s">
        <v>288</v>
      </c>
      <c r="C90" s="123" t="s">
        <v>289</v>
      </c>
      <c r="D90" s="124" t="s">
        <v>290</v>
      </c>
      <c r="E90" s="121"/>
      <c r="F90" s="121"/>
      <c r="G90" s="121">
        <v>400</v>
      </c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5">
        <f t="shared" si="1"/>
        <v>400</v>
      </c>
    </row>
    <row r="91" s="109" customFormat="1" ht="14.25" spans="1:41">
      <c r="A91" s="109">
        <v>54.373</v>
      </c>
      <c r="B91" s="129" t="s">
        <v>291</v>
      </c>
      <c r="C91" s="123" t="s">
        <v>292</v>
      </c>
      <c r="D91" s="124" t="s">
        <v>293</v>
      </c>
      <c r="E91" s="121"/>
      <c r="F91" s="121"/>
      <c r="G91" s="121"/>
      <c r="H91" s="121"/>
      <c r="I91" s="121"/>
      <c r="J91" s="121"/>
      <c r="K91" s="121"/>
      <c r="L91" s="121">
        <v>210</v>
      </c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5">
        <f t="shared" si="1"/>
        <v>210</v>
      </c>
    </row>
    <row r="92" s="109" customFormat="1" ht="14.25" spans="1:41">
      <c r="A92" s="109">
        <v>44.086</v>
      </c>
      <c r="B92" s="130" t="s">
        <v>294</v>
      </c>
      <c r="C92" s="126" t="s">
        <v>295</v>
      </c>
      <c r="D92" s="126" t="s">
        <v>296</v>
      </c>
      <c r="E92" s="121"/>
      <c r="F92" s="121"/>
      <c r="G92" s="121"/>
      <c r="H92" s="121"/>
      <c r="I92" s="121"/>
      <c r="J92" s="121"/>
      <c r="K92" s="121"/>
      <c r="L92" s="121"/>
      <c r="M92" s="121"/>
      <c r="N92" s="121">
        <v>680</v>
      </c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5">
        <f t="shared" si="1"/>
        <v>680</v>
      </c>
    </row>
    <row r="93" s="109" customFormat="1" ht="14.25" spans="1:41">
      <c r="A93" s="109">
        <v>21.734</v>
      </c>
      <c r="B93" s="129" t="s">
        <v>297</v>
      </c>
      <c r="C93" s="123" t="s">
        <v>298</v>
      </c>
      <c r="D93" s="124" t="s">
        <v>299</v>
      </c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>
        <v>2050</v>
      </c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5">
        <f t="shared" si="1"/>
        <v>2050</v>
      </c>
    </row>
    <row r="94" s="109" customFormat="1" ht="14.25" spans="1:41">
      <c r="A94" s="109">
        <v>22.332</v>
      </c>
      <c r="B94" s="129" t="s">
        <v>300</v>
      </c>
      <c r="C94" s="123" t="s">
        <v>301</v>
      </c>
      <c r="D94" s="124" t="s">
        <v>302</v>
      </c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>
        <v>5500</v>
      </c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5">
        <f t="shared" si="1"/>
        <v>5500</v>
      </c>
    </row>
    <row r="95" s="109" customFormat="1" ht="14.25" spans="1:41">
      <c r="A95" s="109">
        <v>32.526</v>
      </c>
      <c r="B95" s="129" t="s">
        <v>303</v>
      </c>
      <c r="C95" s="123" t="s">
        <v>304</v>
      </c>
      <c r="D95" s="124" t="s">
        <v>305</v>
      </c>
      <c r="E95" s="121"/>
      <c r="F95" s="121"/>
      <c r="G95" s="121"/>
      <c r="H95" s="121"/>
      <c r="I95" s="121"/>
      <c r="J95" s="121"/>
      <c r="K95" s="121">
        <v>1550</v>
      </c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5">
        <f t="shared" si="1"/>
        <v>1550</v>
      </c>
    </row>
    <row r="96" s="109" customFormat="1" ht="14.25" spans="1:41">
      <c r="A96" s="109">
        <v>28.252</v>
      </c>
      <c r="B96" s="129" t="s">
        <v>306</v>
      </c>
      <c r="C96" s="123" t="s">
        <v>307</v>
      </c>
      <c r="D96" s="124" t="s">
        <v>308</v>
      </c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>
        <v>500</v>
      </c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5">
        <f t="shared" si="1"/>
        <v>500</v>
      </c>
    </row>
    <row r="97" s="109" customFormat="1" ht="14.25" spans="1:41">
      <c r="A97" s="109">
        <v>111.511</v>
      </c>
      <c r="B97" s="129" t="s">
        <v>309</v>
      </c>
      <c r="C97" s="123" t="s">
        <v>310</v>
      </c>
      <c r="D97" s="124" t="s">
        <v>311</v>
      </c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>
        <v>400</v>
      </c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5">
        <f t="shared" si="1"/>
        <v>400</v>
      </c>
    </row>
    <row r="98" s="109" customFormat="1" ht="14.25" spans="1:41">
      <c r="A98" s="109">
        <v>90.21</v>
      </c>
      <c r="B98" s="129" t="s">
        <v>312</v>
      </c>
      <c r="C98" s="123" t="s">
        <v>313</v>
      </c>
      <c r="D98" s="124" t="s">
        <v>314</v>
      </c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>
        <v>80</v>
      </c>
      <c r="AF98" s="121"/>
      <c r="AG98" s="121"/>
      <c r="AH98" s="121"/>
      <c r="AI98" s="121"/>
      <c r="AJ98" s="121"/>
      <c r="AK98" s="121"/>
      <c r="AL98" s="121"/>
      <c r="AM98" s="121"/>
      <c r="AN98" s="121"/>
      <c r="AO98" s="125">
        <f t="shared" si="1"/>
        <v>80</v>
      </c>
    </row>
    <row r="99" s="109" customFormat="1" ht="14.25" spans="1:41">
      <c r="A99" s="109">
        <v>12.449</v>
      </c>
      <c r="B99" s="129" t="s">
        <v>315</v>
      </c>
      <c r="C99" s="123" t="s">
        <v>316</v>
      </c>
      <c r="D99" s="124" t="s">
        <v>317</v>
      </c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>
        <v>60</v>
      </c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5">
        <f t="shared" si="1"/>
        <v>60</v>
      </c>
    </row>
    <row r="100" ht="14.25" spans="1:41">
      <c r="B100" s="118" t="s">
        <v>318</v>
      </c>
      <c r="C100" s="118" t="s">
        <v>319</v>
      </c>
      <c r="D100" s="65" t="s">
        <v>320</v>
      </c>
      <c r="E100" s="43">
        <v>100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121"/>
      <c r="AH100" s="121"/>
      <c r="AI100" s="121"/>
      <c r="AJ100" s="121"/>
      <c r="AK100" s="121"/>
      <c r="AL100" s="121"/>
      <c r="AM100" s="121"/>
      <c r="AN100" s="121"/>
      <c r="AO100" s="119">
        <f t="shared" si="1"/>
        <v>100</v>
      </c>
    </row>
    <row r="101" ht="14.25" spans="1:41">
      <c r="B101" s="118" t="s">
        <v>321</v>
      </c>
      <c r="C101" s="118" t="s">
        <v>322</v>
      </c>
      <c r="D101" s="65" t="s">
        <v>323</v>
      </c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>
        <v>260</v>
      </c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121"/>
      <c r="AH101" s="121"/>
      <c r="AI101" s="121"/>
      <c r="AJ101" s="121"/>
      <c r="AK101" s="121"/>
      <c r="AL101" s="121"/>
      <c r="AM101" s="121"/>
      <c r="AN101" s="121"/>
      <c r="AO101" s="119">
        <f t="shared" si="1"/>
        <v>260</v>
      </c>
    </row>
    <row r="102" ht="14.25" spans="1:41">
      <c r="B102" s="118" t="s">
        <v>324</v>
      </c>
      <c r="C102" s="118" t="s">
        <v>325</v>
      </c>
      <c r="D102" s="65" t="s">
        <v>326</v>
      </c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>
        <v>8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121"/>
      <c r="AH102" s="121"/>
      <c r="AI102" s="121"/>
      <c r="AJ102" s="121"/>
      <c r="AK102" s="121"/>
      <c r="AL102" s="121"/>
      <c r="AM102" s="121"/>
      <c r="AN102" s="121"/>
      <c r="AO102" s="119">
        <f t="shared" si="1"/>
        <v>8</v>
      </c>
    </row>
    <row r="103" ht="14.25" spans="1:41">
      <c r="B103" s="118" t="s">
        <v>327</v>
      </c>
      <c r="C103" s="118" t="s">
        <v>328</v>
      </c>
      <c r="D103" s="65" t="s">
        <v>329</v>
      </c>
      <c r="E103" s="43"/>
      <c r="F103" s="43"/>
      <c r="G103" s="43"/>
      <c r="H103" s="43"/>
      <c r="I103" s="43"/>
      <c r="J103" s="43"/>
      <c r="K103" s="43"/>
      <c r="L103" s="43"/>
      <c r="M103" s="43"/>
      <c r="N103" s="43">
        <v>60</v>
      </c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121"/>
      <c r="AH103" s="121"/>
      <c r="AI103" s="121"/>
      <c r="AJ103" s="121"/>
      <c r="AK103" s="121"/>
      <c r="AL103" s="121"/>
      <c r="AM103" s="121"/>
      <c r="AN103" s="121"/>
      <c r="AO103" s="119">
        <f t="shared" si="1"/>
        <v>60</v>
      </c>
    </row>
    <row r="104" ht="14.25" spans="1:41">
      <c r="B104" s="118" t="s">
        <v>330</v>
      </c>
      <c r="C104" s="118" t="s">
        <v>331</v>
      </c>
      <c r="D104" s="65" t="s">
        <v>332</v>
      </c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>
        <v>210</v>
      </c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121"/>
      <c r="AH104" s="121"/>
      <c r="AI104" s="121"/>
      <c r="AJ104" s="121"/>
      <c r="AK104" s="121"/>
      <c r="AL104" s="121"/>
      <c r="AM104" s="121"/>
      <c r="AN104" s="121"/>
      <c r="AO104" s="119">
        <f t="shared" si="1"/>
        <v>210</v>
      </c>
    </row>
    <row r="105" ht="14.25" spans="1:41">
      <c r="B105" s="118" t="s">
        <v>333</v>
      </c>
      <c r="C105" s="118" t="s">
        <v>334</v>
      </c>
      <c r="D105" s="65" t="s">
        <v>335</v>
      </c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>
        <v>1140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121"/>
      <c r="AH105" s="121"/>
      <c r="AI105" s="121"/>
      <c r="AJ105" s="121"/>
      <c r="AK105" s="121"/>
      <c r="AL105" s="121"/>
      <c r="AM105" s="121"/>
      <c r="AN105" s="121"/>
      <c r="AO105" s="119">
        <f t="shared" si="1"/>
        <v>1140</v>
      </c>
    </row>
    <row r="106" ht="17" customHeight="1" spans="1:41">
      <c r="B106" s="118" t="s">
        <v>336</v>
      </c>
      <c r="C106" s="118" t="s">
        <v>337</v>
      </c>
      <c r="D106" s="65" t="s">
        <v>338</v>
      </c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>
        <v>2100</v>
      </c>
      <c r="AE106" s="43"/>
      <c r="AF106" s="43"/>
      <c r="AG106" s="121"/>
      <c r="AH106" s="121"/>
      <c r="AI106" s="121"/>
      <c r="AJ106" s="121"/>
      <c r="AK106" s="121"/>
      <c r="AL106" s="121"/>
      <c r="AM106" s="121"/>
      <c r="AN106" s="121"/>
      <c r="AO106" s="119">
        <f t="shared" si="1"/>
        <v>2100</v>
      </c>
    </row>
    <row r="107" ht="14.25" spans="1:41">
      <c r="B107" s="118" t="s">
        <v>339</v>
      </c>
      <c r="C107" s="118" t="s">
        <v>340</v>
      </c>
      <c r="D107" s="65" t="s">
        <v>341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>
        <v>96</v>
      </c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121"/>
      <c r="AH107" s="121"/>
      <c r="AI107" s="121"/>
      <c r="AJ107" s="121"/>
      <c r="AK107" s="121"/>
      <c r="AL107" s="121"/>
      <c r="AM107" s="121"/>
      <c r="AN107" s="121"/>
      <c r="AO107" s="119">
        <f t="shared" si="1"/>
        <v>96</v>
      </c>
    </row>
    <row r="108" spans="1:41"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</sheetData>
  <sortState ref="B5:AP106">
    <sortCondition ref="B5"/>
  </sortState>
  <mergeCells count="1">
    <mergeCell ref="AO4:AO5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1"/>
  <sheetViews>
    <sheetView tabSelected="1" zoomScaleSheetLayoutView="60" topLeftCell="A103" workbookViewId="0">
      <selection activeCell="C129" sqref="C129:C130"/>
    </sheetView>
  </sheetViews>
  <sheetFormatPr defaultColWidth="8" defaultRowHeight="13.5" outlineLevelCol="4"/>
  <cols>
    <col min="1" max="1" width="15" style="107" customWidth="1"/>
    <col min="2" max="2" width="38.25" style="107" customWidth="1"/>
    <col min="3" max="3" width="14.875" style="107" customWidth="1"/>
    <col min="4" max="4" width="8" style="107"/>
    <col min="5" max="5" width="9.25" style="107"/>
    <col min="6" max="16371" width="8" style="107"/>
  </cols>
  <sheetData>
    <row r="1" spans="1:3">
      <c r="A1" s="107" t="s">
        <v>31</v>
      </c>
      <c r="B1" s="107" t="s">
        <v>32</v>
      </c>
      <c r="C1" s="107" t="s">
        <v>342</v>
      </c>
    </row>
    <row r="2" spans="1:3">
      <c r="A2" s="107" t="s">
        <v>79</v>
      </c>
      <c r="B2" s="107" t="s">
        <v>80</v>
      </c>
      <c r="C2" s="107">
        <v>2419</v>
      </c>
    </row>
    <row r="3" spans="1:3">
      <c r="A3" s="107" t="s">
        <v>81</v>
      </c>
      <c r="B3" s="107" t="s">
        <v>82</v>
      </c>
      <c r="C3" s="107">
        <v>833</v>
      </c>
    </row>
    <row r="4" spans="1:3">
      <c r="A4" s="107" t="s">
        <v>83</v>
      </c>
      <c r="B4" s="107" t="s">
        <v>84</v>
      </c>
      <c r="C4" s="107">
        <v>5655</v>
      </c>
    </row>
    <row r="5" spans="1:3">
      <c r="A5" s="107" t="s">
        <v>85</v>
      </c>
      <c r="B5" s="107" t="s">
        <v>86</v>
      </c>
      <c r="C5" s="107">
        <v>570</v>
      </c>
    </row>
    <row r="6" spans="1:3">
      <c r="A6" s="107" t="s">
        <v>87</v>
      </c>
      <c r="B6" s="107" t="s">
        <v>88</v>
      </c>
      <c r="C6" s="107">
        <v>62</v>
      </c>
    </row>
    <row r="7" spans="1:3">
      <c r="A7" s="107" t="s">
        <v>90</v>
      </c>
      <c r="B7" s="107" t="s">
        <v>91</v>
      </c>
      <c r="C7" s="107">
        <v>462</v>
      </c>
    </row>
    <row r="8" spans="1:3">
      <c r="A8" s="107" t="s">
        <v>92</v>
      </c>
      <c r="B8" s="107" t="s">
        <v>93</v>
      </c>
      <c r="C8" s="107">
        <v>206</v>
      </c>
    </row>
    <row r="9" spans="1:3">
      <c r="A9" s="107" t="s">
        <v>94</v>
      </c>
      <c r="B9" s="107" t="s">
        <v>95</v>
      </c>
      <c r="C9" s="107">
        <v>852.3</v>
      </c>
    </row>
    <row r="10" spans="1:3">
      <c r="A10" s="107" t="s">
        <v>96</v>
      </c>
      <c r="B10" s="107" t="s">
        <v>97</v>
      </c>
      <c r="C10" s="107">
        <v>450</v>
      </c>
    </row>
    <row r="11" spans="1:3">
      <c r="A11" s="107" t="s">
        <v>98</v>
      </c>
      <c r="B11" s="107" t="s">
        <v>99</v>
      </c>
      <c r="C11" s="107">
        <v>870</v>
      </c>
    </row>
    <row r="12" spans="1:3">
      <c r="A12" s="107" t="s">
        <v>100</v>
      </c>
      <c r="B12" s="107" t="s">
        <v>101</v>
      </c>
      <c r="C12" s="107">
        <v>3540</v>
      </c>
    </row>
    <row r="13" spans="1:3">
      <c r="A13" s="107" t="s">
        <v>102</v>
      </c>
      <c r="B13" s="107" t="s">
        <v>103</v>
      </c>
      <c r="C13" s="107">
        <v>118</v>
      </c>
    </row>
    <row r="14" spans="1:3">
      <c r="A14" s="108" t="s">
        <v>104</v>
      </c>
      <c r="B14" s="108" t="s">
        <v>105</v>
      </c>
      <c r="C14" s="107">
        <v>62</v>
      </c>
    </row>
    <row r="15" spans="1:3">
      <c r="A15" s="108" t="s">
        <v>107</v>
      </c>
      <c r="B15" s="108" t="s">
        <v>108</v>
      </c>
      <c r="C15" s="107">
        <v>25</v>
      </c>
    </row>
    <row r="16" spans="1:3">
      <c r="A16" s="108" t="s">
        <v>109</v>
      </c>
      <c r="B16" s="108" t="s">
        <v>110</v>
      </c>
      <c r="C16" s="107">
        <v>0.557</v>
      </c>
    </row>
    <row r="17" spans="1:3">
      <c r="A17" s="107" t="s">
        <v>111</v>
      </c>
      <c r="B17" s="107" t="s">
        <v>112</v>
      </c>
      <c r="C17" s="107">
        <v>0.3</v>
      </c>
    </row>
    <row r="18" spans="1:3">
      <c r="A18" s="107" t="s">
        <v>114</v>
      </c>
      <c r="B18" s="107" t="s">
        <v>115</v>
      </c>
      <c r="C18" s="107">
        <v>280</v>
      </c>
    </row>
    <row r="19" spans="1:3">
      <c r="A19" s="107" t="s">
        <v>116</v>
      </c>
      <c r="B19" s="107" t="s">
        <v>117</v>
      </c>
      <c r="C19" s="107">
        <v>1896</v>
      </c>
    </row>
    <row r="20" spans="1:3">
      <c r="A20" s="107" t="s">
        <v>118</v>
      </c>
      <c r="B20" s="107" t="s">
        <v>119</v>
      </c>
      <c r="C20" s="107">
        <v>13.2</v>
      </c>
    </row>
    <row r="21" spans="1:3">
      <c r="A21" s="107" t="s">
        <v>121</v>
      </c>
      <c r="B21" s="107" t="s">
        <v>122</v>
      </c>
      <c r="C21" s="107">
        <v>862.6</v>
      </c>
    </row>
    <row r="22" spans="1:3">
      <c r="A22" s="107" t="s">
        <v>123</v>
      </c>
      <c r="B22" s="107" t="s">
        <v>124</v>
      </c>
      <c r="C22" s="107">
        <v>926</v>
      </c>
    </row>
    <row r="23" spans="1:3">
      <c r="A23" s="107" t="s">
        <v>125</v>
      </c>
      <c r="B23" s="107" t="s">
        <v>126</v>
      </c>
      <c r="C23" s="107">
        <v>1850</v>
      </c>
    </row>
    <row r="24" spans="1:3">
      <c r="A24" s="107" t="s">
        <v>128</v>
      </c>
      <c r="B24" s="107" t="s">
        <v>129</v>
      </c>
      <c r="C24" s="107">
        <v>150</v>
      </c>
    </row>
    <row r="25" spans="1:3">
      <c r="A25" s="107" t="s">
        <v>131</v>
      </c>
      <c r="B25" s="107" t="s">
        <v>132</v>
      </c>
      <c r="C25" s="107">
        <v>955</v>
      </c>
    </row>
    <row r="26" spans="1:3">
      <c r="A26" s="108" t="s">
        <v>134</v>
      </c>
      <c r="B26" s="108" t="s">
        <v>135</v>
      </c>
      <c r="C26" s="107">
        <v>150</v>
      </c>
    </row>
    <row r="27" spans="1:3">
      <c r="A27" s="107" t="s">
        <v>137</v>
      </c>
      <c r="B27" s="107" t="s">
        <v>138</v>
      </c>
      <c r="C27" s="107">
        <v>1940</v>
      </c>
    </row>
    <row r="28" spans="1:3">
      <c r="A28" s="107" t="s">
        <v>140</v>
      </c>
      <c r="B28" s="107" t="s">
        <v>141</v>
      </c>
      <c r="C28" s="107">
        <v>160</v>
      </c>
    </row>
    <row r="29" spans="1:3">
      <c r="A29" s="107" t="s">
        <v>142</v>
      </c>
      <c r="B29" s="107" t="s">
        <v>143</v>
      </c>
      <c r="C29" s="107">
        <v>528</v>
      </c>
    </row>
    <row r="30" spans="1:3">
      <c r="A30" s="107" t="s">
        <v>144</v>
      </c>
      <c r="B30" s="107" t="s">
        <v>145</v>
      </c>
      <c r="C30" s="107">
        <v>51.5</v>
      </c>
    </row>
    <row r="31" spans="1:3">
      <c r="A31" s="107" t="s">
        <v>147</v>
      </c>
      <c r="B31" s="107" t="s">
        <v>148</v>
      </c>
      <c r="C31" s="107">
        <v>188</v>
      </c>
    </row>
    <row r="32" spans="1:3">
      <c r="A32" s="107" t="s">
        <v>150</v>
      </c>
      <c r="B32" s="107" t="s">
        <v>151</v>
      </c>
      <c r="C32" s="107">
        <v>4</v>
      </c>
    </row>
    <row r="33" spans="1:3">
      <c r="A33" s="107" t="s">
        <v>152</v>
      </c>
      <c r="B33" s="107" t="s">
        <v>153</v>
      </c>
      <c r="C33" s="107">
        <v>20</v>
      </c>
    </row>
    <row r="34" spans="1:3">
      <c r="A34" s="107" t="s">
        <v>154</v>
      </c>
      <c r="B34" s="107" t="s">
        <v>155</v>
      </c>
      <c r="C34" s="107">
        <v>360</v>
      </c>
    </row>
    <row r="35" spans="1:3">
      <c r="A35" s="107" t="s">
        <v>156</v>
      </c>
      <c r="B35" s="107" t="s">
        <v>157</v>
      </c>
      <c r="C35" s="107">
        <v>118.4</v>
      </c>
    </row>
    <row r="36" spans="1:3">
      <c r="A36" s="107" t="s">
        <v>158</v>
      </c>
      <c r="B36" s="107" t="s">
        <v>159</v>
      </c>
      <c r="C36" s="107">
        <v>560</v>
      </c>
    </row>
    <row r="37" spans="1:3">
      <c r="A37" s="107" t="s">
        <v>161</v>
      </c>
      <c r="B37" s="107" t="s">
        <v>162</v>
      </c>
      <c r="C37" s="107">
        <v>40</v>
      </c>
    </row>
    <row r="38" spans="1:3">
      <c r="A38" s="107" t="s">
        <v>163</v>
      </c>
      <c r="B38" s="107" t="s">
        <v>164</v>
      </c>
      <c r="C38" s="107">
        <v>464</v>
      </c>
    </row>
    <row r="39" spans="1:3">
      <c r="A39" s="107" t="s">
        <v>166</v>
      </c>
      <c r="B39" s="107" t="s">
        <v>167</v>
      </c>
      <c r="C39" s="107">
        <v>490</v>
      </c>
    </row>
    <row r="40" spans="1:3">
      <c r="A40" s="107" t="s">
        <v>169</v>
      </c>
      <c r="B40" s="107" t="s">
        <v>170</v>
      </c>
      <c r="C40" s="107">
        <v>950</v>
      </c>
    </row>
    <row r="41" spans="1:3">
      <c r="A41" s="107" t="s">
        <v>171</v>
      </c>
      <c r="B41" s="107" t="s">
        <v>172</v>
      </c>
      <c r="C41" s="107">
        <v>794.4</v>
      </c>
    </row>
    <row r="42" spans="1:3">
      <c r="A42" s="108" t="s">
        <v>173</v>
      </c>
      <c r="B42" s="108" t="s">
        <v>174</v>
      </c>
      <c r="C42" s="107">
        <v>25</v>
      </c>
    </row>
    <row r="43" spans="1:3">
      <c r="A43" s="107" t="s">
        <v>175</v>
      </c>
      <c r="B43" s="107" t="s">
        <v>176</v>
      </c>
      <c r="C43" s="107">
        <v>430</v>
      </c>
    </row>
    <row r="44" spans="1:3">
      <c r="A44" s="107" t="s">
        <v>178</v>
      </c>
      <c r="B44" s="107" t="s">
        <v>179</v>
      </c>
      <c r="C44" s="107">
        <v>4.35</v>
      </c>
    </row>
    <row r="45" spans="1:3">
      <c r="A45" s="108" t="s">
        <v>180</v>
      </c>
      <c r="B45" s="108" t="s">
        <v>181</v>
      </c>
      <c r="C45" s="107">
        <v>15</v>
      </c>
    </row>
    <row r="46" spans="1:3">
      <c r="A46" s="108" t="s">
        <v>182</v>
      </c>
      <c r="B46" s="108" t="s">
        <v>183</v>
      </c>
      <c r="C46" s="107">
        <v>15</v>
      </c>
    </row>
    <row r="47" spans="1:3">
      <c r="A47" s="108" t="s">
        <v>184</v>
      </c>
      <c r="B47" s="108" t="s">
        <v>185</v>
      </c>
      <c r="C47" s="107">
        <v>20</v>
      </c>
    </row>
    <row r="48" spans="1:3">
      <c r="A48" s="107" t="s">
        <v>186</v>
      </c>
      <c r="B48" s="107" t="s">
        <v>187</v>
      </c>
      <c r="C48" s="107">
        <v>90</v>
      </c>
    </row>
    <row r="49" spans="1:3">
      <c r="A49" s="108" t="s">
        <v>188</v>
      </c>
      <c r="B49" s="108" t="s">
        <v>189</v>
      </c>
      <c r="C49" s="107">
        <v>280</v>
      </c>
    </row>
    <row r="50" spans="1:3">
      <c r="A50" s="108" t="s">
        <v>190</v>
      </c>
      <c r="B50" s="108" t="s">
        <v>191</v>
      </c>
      <c r="C50" s="107">
        <v>90</v>
      </c>
    </row>
    <row r="51" spans="1:3">
      <c r="A51" s="107" t="s">
        <v>193</v>
      </c>
      <c r="B51" s="107" t="s">
        <v>194</v>
      </c>
      <c r="C51" s="107">
        <v>228</v>
      </c>
    </row>
    <row r="52" spans="1:3">
      <c r="A52" s="107" t="s">
        <v>196</v>
      </c>
      <c r="B52" s="107" t="s">
        <v>197</v>
      </c>
      <c r="C52" s="107">
        <v>2100</v>
      </c>
    </row>
    <row r="53" spans="1:3">
      <c r="A53" s="108" t="s">
        <v>198</v>
      </c>
      <c r="B53" s="108" t="s">
        <v>199</v>
      </c>
      <c r="C53" s="107">
        <v>160</v>
      </c>
    </row>
    <row r="54" spans="1:3">
      <c r="A54" s="108" t="s">
        <v>200</v>
      </c>
      <c r="B54" s="108" t="s">
        <v>201</v>
      </c>
      <c r="C54" s="107">
        <v>1.2</v>
      </c>
    </row>
    <row r="55" spans="1:3">
      <c r="A55" s="108" t="s">
        <v>202</v>
      </c>
      <c r="B55" s="108" t="s">
        <v>203</v>
      </c>
      <c r="C55" s="107">
        <v>150</v>
      </c>
    </row>
    <row r="56" spans="1:3">
      <c r="A56" s="107" t="s">
        <v>204</v>
      </c>
      <c r="B56" s="107" t="s">
        <v>205</v>
      </c>
      <c r="C56" s="107">
        <v>226</v>
      </c>
    </row>
    <row r="57" spans="1:3">
      <c r="A57" s="108" t="s">
        <v>206</v>
      </c>
      <c r="B57" s="108" t="s">
        <v>207</v>
      </c>
      <c r="C57" s="107">
        <v>188</v>
      </c>
    </row>
    <row r="58" spans="1:3">
      <c r="A58" s="107" t="s">
        <v>208</v>
      </c>
      <c r="B58" s="107" t="s">
        <v>209</v>
      </c>
      <c r="C58" s="107">
        <v>544</v>
      </c>
    </row>
    <row r="59" spans="1:3">
      <c r="A59" s="107" t="s">
        <v>211</v>
      </c>
      <c r="B59" s="107" t="s">
        <v>212</v>
      </c>
      <c r="C59" s="107">
        <v>28</v>
      </c>
    </row>
    <row r="60" spans="1:3">
      <c r="A60" s="107" t="s">
        <v>214</v>
      </c>
      <c r="B60" s="107" t="s">
        <v>215</v>
      </c>
      <c r="C60" s="107">
        <v>120</v>
      </c>
    </row>
    <row r="61" spans="1:3">
      <c r="A61" s="107" t="s">
        <v>217</v>
      </c>
      <c r="B61" s="107" t="s">
        <v>218</v>
      </c>
      <c r="C61" s="107">
        <v>54</v>
      </c>
    </row>
    <row r="62" spans="1:3">
      <c r="A62" s="108" t="s">
        <v>220</v>
      </c>
      <c r="B62" s="108" t="s">
        <v>221</v>
      </c>
      <c r="C62" s="107">
        <v>90</v>
      </c>
    </row>
    <row r="63" spans="1:3">
      <c r="A63" s="107" t="s">
        <v>223</v>
      </c>
      <c r="B63" s="107" t="s">
        <v>224</v>
      </c>
      <c r="C63" s="107">
        <v>625</v>
      </c>
    </row>
    <row r="64" spans="1:3">
      <c r="A64" s="108" t="s">
        <v>226</v>
      </c>
      <c r="B64" s="108" t="s">
        <v>227</v>
      </c>
      <c r="C64" s="107">
        <v>50</v>
      </c>
    </row>
    <row r="65" spans="1:5">
      <c r="A65" s="107" t="s">
        <v>228</v>
      </c>
      <c r="B65" s="107" t="s">
        <v>229</v>
      </c>
      <c r="C65" s="107">
        <v>4.87</v>
      </c>
    </row>
    <row r="66" spans="1:5">
      <c r="A66" s="107" t="s">
        <v>231</v>
      </c>
      <c r="B66" s="107" t="s">
        <v>232</v>
      </c>
      <c r="C66" s="107">
        <v>102</v>
      </c>
    </row>
    <row r="67" spans="1:5">
      <c r="A67" s="108" t="s">
        <v>233</v>
      </c>
      <c r="B67" s="108" t="s">
        <v>234</v>
      </c>
      <c r="C67" s="107">
        <v>150</v>
      </c>
    </row>
    <row r="68" spans="1:5">
      <c r="A68" s="108" t="s">
        <v>236</v>
      </c>
      <c r="B68" s="108" t="s">
        <v>237</v>
      </c>
      <c r="C68" s="107">
        <v>40</v>
      </c>
    </row>
    <row r="69" spans="1:5">
      <c r="A69" s="107" t="s">
        <v>239</v>
      </c>
      <c r="B69" s="107" t="s">
        <v>240</v>
      </c>
      <c r="C69" s="107">
        <v>580</v>
      </c>
    </row>
    <row r="70" spans="1:5">
      <c r="A70" s="107" t="s">
        <v>241</v>
      </c>
      <c r="B70" s="107" t="s">
        <v>242</v>
      </c>
      <c r="C70" s="107">
        <v>18</v>
      </c>
    </row>
    <row r="71" spans="1:5">
      <c r="A71" s="107" t="s">
        <v>244</v>
      </c>
      <c r="B71" s="107" t="s">
        <v>245</v>
      </c>
      <c r="C71" s="107">
        <v>36</v>
      </c>
    </row>
    <row r="72" spans="1:5">
      <c r="A72" s="107" t="s">
        <v>247</v>
      </c>
      <c r="B72" s="107" t="s">
        <v>248</v>
      </c>
      <c r="C72" s="107">
        <v>140</v>
      </c>
    </row>
    <row r="73" spans="1:5">
      <c r="A73" s="107" t="s">
        <v>250</v>
      </c>
      <c r="B73" s="107" t="s">
        <v>251</v>
      </c>
      <c r="C73" s="107">
        <v>84</v>
      </c>
    </row>
    <row r="74" spans="1:5">
      <c r="A74" s="108" t="s">
        <v>253</v>
      </c>
      <c r="B74" s="108" t="s">
        <v>254</v>
      </c>
      <c r="C74" s="107">
        <v>120</v>
      </c>
    </row>
    <row r="75" spans="1:5">
      <c r="A75" s="107" t="s">
        <v>256</v>
      </c>
      <c r="B75" s="107" t="s">
        <v>257</v>
      </c>
      <c r="C75" s="107">
        <v>6</v>
      </c>
    </row>
    <row r="76" spans="1:5">
      <c r="A76" s="107" t="s">
        <v>259</v>
      </c>
      <c r="B76" s="107" t="s">
        <v>260</v>
      </c>
      <c r="C76" s="107">
        <v>306</v>
      </c>
    </row>
    <row r="77" spans="1:5">
      <c r="A77" s="107" t="s">
        <v>262</v>
      </c>
      <c r="B77" s="107" t="s">
        <v>263</v>
      </c>
      <c r="C77" s="107">
        <v>2346.4</v>
      </c>
      <c r="E77" s="107">
        <f>SUM(C2:C77,C213:C220)</f>
        <v>43317.077</v>
      </c>
    </row>
    <row r="78" spans="1:5">
      <c r="A78" s="107" t="s">
        <v>343</v>
      </c>
      <c r="B78" s="107" t="s">
        <v>344</v>
      </c>
      <c r="C78" s="107">
        <v>1109</v>
      </c>
      <c r="E78" s="107">
        <f>E77-'原材料（2）'!AP6</f>
        <v>0</v>
      </c>
    </row>
    <row r="79" spans="1:5">
      <c r="A79" s="107" t="s">
        <v>345</v>
      </c>
      <c r="B79" s="107" t="s">
        <v>346</v>
      </c>
      <c r="C79" s="107">
        <v>1594</v>
      </c>
    </row>
    <row r="80" spans="1:5">
      <c r="A80" s="107" t="s">
        <v>347</v>
      </c>
      <c r="B80" s="107" t="s">
        <v>348</v>
      </c>
      <c r="C80" s="107">
        <v>38</v>
      </c>
    </row>
    <row r="81" spans="1:3">
      <c r="A81" s="107" t="s">
        <v>349</v>
      </c>
      <c r="B81" s="107" t="s">
        <v>350</v>
      </c>
      <c r="C81" s="107">
        <v>752</v>
      </c>
    </row>
    <row r="82" spans="1:3">
      <c r="A82" s="107" t="s">
        <v>351</v>
      </c>
      <c r="B82" s="107" t="s">
        <v>352</v>
      </c>
      <c r="C82" s="107">
        <v>188</v>
      </c>
    </row>
    <row r="83" spans="1:3">
      <c r="A83" s="107" t="s">
        <v>353</v>
      </c>
      <c r="B83" s="107" t="s">
        <v>354</v>
      </c>
      <c r="C83" s="107">
        <v>300</v>
      </c>
    </row>
    <row r="84" spans="1:3">
      <c r="A84" s="107" t="s">
        <v>355</v>
      </c>
      <c r="B84" s="107" t="s">
        <v>356</v>
      </c>
      <c r="C84" s="107">
        <v>100</v>
      </c>
    </row>
    <row r="85" spans="1:3">
      <c r="A85" s="107" t="s">
        <v>357</v>
      </c>
      <c r="B85" s="107" t="s">
        <v>358</v>
      </c>
      <c r="C85" s="107">
        <v>285</v>
      </c>
    </row>
    <row r="86" spans="1:3">
      <c r="A86" s="107" t="s">
        <v>359</v>
      </c>
      <c r="B86" s="107" t="s">
        <v>360</v>
      </c>
      <c r="C86" s="107">
        <v>776</v>
      </c>
    </row>
    <row r="87" spans="1:3">
      <c r="A87" s="107" t="s">
        <v>361</v>
      </c>
      <c r="B87" s="107" t="s">
        <v>362</v>
      </c>
      <c r="C87" s="107">
        <v>50</v>
      </c>
    </row>
    <row r="88" spans="1:3">
      <c r="A88" s="107" t="s">
        <v>363</v>
      </c>
      <c r="B88" s="107" t="s">
        <v>364</v>
      </c>
      <c r="C88" s="107">
        <v>496</v>
      </c>
    </row>
    <row r="89" spans="1:3">
      <c r="A89" s="107" t="s">
        <v>365</v>
      </c>
      <c r="B89" s="107" t="s">
        <v>366</v>
      </c>
      <c r="C89" s="107">
        <v>96</v>
      </c>
    </row>
    <row r="90" spans="1:3">
      <c r="A90" s="107" t="s">
        <v>367</v>
      </c>
      <c r="B90" s="107" t="s">
        <v>368</v>
      </c>
      <c r="C90" s="107">
        <v>524</v>
      </c>
    </row>
    <row r="91" spans="1:3">
      <c r="A91" s="107" t="s">
        <v>369</v>
      </c>
      <c r="B91" s="107" t="s">
        <v>370</v>
      </c>
      <c r="C91" s="107">
        <v>100</v>
      </c>
    </row>
    <row r="92" spans="1:3">
      <c r="A92" s="107" t="s">
        <v>371</v>
      </c>
      <c r="B92" s="107" t="s">
        <v>372</v>
      </c>
      <c r="C92" s="107">
        <v>100</v>
      </c>
    </row>
    <row r="93" spans="1:3">
      <c r="A93" s="107" t="s">
        <v>373</v>
      </c>
      <c r="B93" s="107" t="s">
        <v>374</v>
      </c>
      <c r="C93" s="107">
        <v>90</v>
      </c>
    </row>
    <row r="94" spans="1:3">
      <c r="A94" s="107" t="s">
        <v>375</v>
      </c>
      <c r="B94" s="107" t="s">
        <v>376</v>
      </c>
      <c r="C94" s="107">
        <v>582</v>
      </c>
    </row>
    <row r="95" spans="1:3">
      <c r="A95" s="107" t="s">
        <v>377</v>
      </c>
      <c r="B95" s="107" t="s">
        <v>378</v>
      </c>
      <c r="C95" s="107">
        <v>20</v>
      </c>
    </row>
    <row r="96" spans="1:3">
      <c r="A96" s="107" t="s">
        <v>379</v>
      </c>
      <c r="B96" s="107" t="s">
        <v>380</v>
      </c>
      <c r="C96" s="107">
        <v>115</v>
      </c>
    </row>
    <row r="97" spans="1:3">
      <c r="A97" s="107" t="s">
        <v>381</v>
      </c>
      <c r="B97" s="107" t="s">
        <v>382</v>
      </c>
      <c r="C97" s="107">
        <v>12</v>
      </c>
    </row>
    <row r="98" spans="1:3">
      <c r="A98" s="107" t="s">
        <v>383</v>
      </c>
      <c r="B98" s="107" t="s">
        <v>384</v>
      </c>
      <c r="C98" s="107">
        <v>240</v>
      </c>
    </row>
    <row r="99" spans="1:3">
      <c r="A99" s="107" t="s">
        <v>385</v>
      </c>
      <c r="B99" s="107" t="s">
        <v>386</v>
      </c>
      <c r="C99" s="107">
        <v>280</v>
      </c>
    </row>
    <row r="100" spans="1:3">
      <c r="A100" s="107" t="s">
        <v>387</v>
      </c>
      <c r="B100" s="107" t="s">
        <v>388</v>
      </c>
      <c r="C100" s="107">
        <v>837</v>
      </c>
    </row>
    <row r="101" spans="1:3">
      <c r="A101" s="107" t="s">
        <v>389</v>
      </c>
      <c r="B101" s="107" t="s">
        <v>390</v>
      </c>
      <c r="C101" s="107">
        <v>62</v>
      </c>
    </row>
    <row r="102" spans="1:3">
      <c r="A102" s="107" t="s">
        <v>391</v>
      </c>
      <c r="B102" s="107" t="s">
        <v>392</v>
      </c>
      <c r="C102" s="107">
        <v>690</v>
      </c>
    </row>
    <row r="103" spans="1:3">
      <c r="A103" s="107" t="s">
        <v>393</v>
      </c>
      <c r="B103" s="107" t="s">
        <v>394</v>
      </c>
      <c r="C103" s="107">
        <v>94</v>
      </c>
    </row>
    <row r="104" spans="1:3">
      <c r="A104" s="107" t="s">
        <v>395</v>
      </c>
      <c r="B104" s="107" t="s">
        <v>396</v>
      </c>
      <c r="C104" s="107">
        <v>980</v>
      </c>
    </row>
    <row r="105" spans="1:3">
      <c r="A105" s="107" t="s">
        <v>397</v>
      </c>
      <c r="B105" s="107" t="s">
        <v>398</v>
      </c>
      <c r="C105" s="107">
        <v>400</v>
      </c>
    </row>
    <row r="106" spans="1:3">
      <c r="A106" s="107" t="s">
        <v>399</v>
      </c>
      <c r="B106" s="107" t="s">
        <v>400</v>
      </c>
      <c r="C106" s="107">
        <v>10260</v>
      </c>
    </row>
    <row r="107" spans="1:3">
      <c r="A107" s="107" t="s">
        <v>401</v>
      </c>
      <c r="B107" s="107" t="s">
        <v>402</v>
      </c>
      <c r="C107" s="107">
        <v>18245</v>
      </c>
    </row>
    <row r="108" spans="1:3">
      <c r="A108" s="107" t="s">
        <v>403</v>
      </c>
      <c r="B108" s="107" t="s">
        <v>404</v>
      </c>
      <c r="C108" s="107">
        <v>128090</v>
      </c>
    </row>
    <row r="109" spans="1:3">
      <c r="A109" s="107" t="s">
        <v>405</v>
      </c>
      <c r="B109" s="107" t="s">
        <v>406</v>
      </c>
      <c r="C109" s="107">
        <v>11210</v>
      </c>
    </row>
    <row r="110" spans="1:3">
      <c r="A110" s="107" t="s">
        <v>407</v>
      </c>
      <c r="B110" s="107" t="s">
        <v>408</v>
      </c>
      <c r="C110" s="107">
        <v>7640</v>
      </c>
    </row>
    <row r="111" spans="1:3">
      <c r="A111" s="107" t="s">
        <v>409</v>
      </c>
      <c r="B111" s="107" t="s">
        <v>410</v>
      </c>
      <c r="C111" s="107">
        <v>23840</v>
      </c>
    </row>
    <row r="112" spans="1:3">
      <c r="A112" s="107" t="s">
        <v>411</v>
      </c>
      <c r="B112" s="107" t="s">
        <v>412</v>
      </c>
      <c r="C112" s="107">
        <v>25423</v>
      </c>
    </row>
    <row r="113" spans="1:3">
      <c r="A113" s="107" t="s">
        <v>413</v>
      </c>
      <c r="B113" s="107" t="s">
        <v>414</v>
      </c>
      <c r="C113" s="107">
        <v>1960</v>
      </c>
    </row>
    <row r="114" spans="1:3">
      <c r="A114" s="107" t="s">
        <v>415</v>
      </c>
      <c r="B114" s="107" t="s">
        <v>416</v>
      </c>
      <c r="C114" s="107">
        <v>3450</v>
      </c>
    </row>
    <row r="115" spans="1:3">
      <c r="A115" s="107" t="s">
        <v>417</v>
      </c>
      <c r="B115" s="107" t="s">
        <v>418</v>
      </c>
      <c r="C115" s="107">
        <v>8070</v>
      </c>
    </row>
    <row r="116" spans="1:3">
      <c r="A116" s="107" t="s">
        <v>419</v>
      </c>
      <c r="B116" s="107" t="s">
        <v>420</v>
      </c>
      <c r="C116" s="107">
        <v>7360</v>
      </c>
    </row>
    <row r="117" spans="1:3">
      <c r="A117" s="107" t="s">
        <v>421</v>
      </c>
      <c r="B117" s="107" t="s">
        <v>422</v>
      </c>
      <c r="C117" s="107">
        <v>357</v>
      </c>
    </row>
    <row r="118" spans="1:3">
      <c r="A118" s="107" t="s">
        <v>423</v>
      </c>
      <c r="B118" s="107" t="s">
        <v>424</v>
      </c>
      <c r="C118" s="107">
        <v>60</v>
      </c>
    </row>
    <row r="119" spans="1:3">
      <c r="A119" s="107" t="s">
        <v>425</v>
      </c>
      <c r="B119" s="107" t="s">
        <v>426</v>
      </c>
      <c r="C119" s="107">
        <v>12000</v>
      </c>
    </row>
    <row r="120" spans="1:3">
      <c r="A120" s="107" t="s">
        <v>427</v>
      </c>
      <c r="B120" s="107" t="s">
        <v>428</v>
      </c>
      <c r="C120" s="107">
        <v>-1795</v>
      </c>
    </row>
    <row r="121" spans="1:3">
      <c r="A121" s="107" t="s">
        <v>429</v>
      </c>
      <c r="B121" s="107" t="s">
        <v>430</v>
      </c>
      <c r="C121" s="107">
        <v>1790</v>
      </c>
    </row>
    <row r="122" spans="1:3">
      <c r="A122" s="107" t="s">
        <v>431</v>
      </c>
      <c r="B122" s="107" t="s">
        <v>432</v>
      </c>
      <c r="C122" s="107">
        <v>200</v>
      </c>
    </row>
    <row r="123" spans="1:3">
      <c r="A123" s="107" t="s">
        <v>433</v>
      </c>
      <c r="B123" s="107" t="s">
        <v>434</v>
      </c>
      <c r="C123" s="107">
        <v>1175</v>
      </c>
    </row>
    <row r="124" spans="1:3">
      <c r="A124" s="107" t="s">
        <v>435</v>
      </c>
      <c r="B124" s="107" t="s">
        <v>436</v>
      </c>
      <c r="C124" s="107">
        <v>110</v>
      </c>
    </row>
    <row r="125" spans="1:3">
      <c r="A125" s="107" t="s">
        <v>437</v>
      </c>
      <c r="B125" s="107" t="s">
        <v>438</v>
      </c>
      <c r="C125" s="107">
        <v>5</v>
      </c>
    </row>
    <row r="126" spans="1:3">
      <c r="A126" s="107" t="s">
        <v>439</v>
      </c>
      <c r="B126" s="107" t="s">
        <v>440</v>
      </c>
      <c r="C126" s="107">
        <v>1200</v>
      </c>
    </row>
    <row r="127" spans="1:3">
      <c r="A127" s="107" t="s">
        <v>441</v>
      </c>
      <c r="B127" s="107" t="s">
        <v>442</v>
      </c>
      <c r="C127" s="107">
        <v>570</v>
      </c>
    </row>
    <row r="128" spans="1:3">
      <c r="A128" s="107" t="s">
        <v>443</v>
      </c>
      <c r="B128" s="107" t="s">
        <v>444</v>
      </c>
      <c r="C128" s="107">
        <v>5100</v>
      </c>
    </row>
    <row r="129" spans="1:3">
      <c r="A129" s="107" t="s">
        <v>445</v>
      </c>
      <c r="B129" s="107" t="s">
        <v>446</v>
      </c>
      <c r="C129" s="107">
        <v>2000</v>
      </c>
    </row>
    <row r="130" spans="1:3">
      <c r="A130" s="107" t="s">
        <v>447</v>
      </c>
      <c r="B130" s="107" t="s">
        <v>448</v>
      </c>
      <c r="C130" s="107">
        <v>21700</v>
      </c>
    </row>
    <row r="131" spans="1:3">
      <c r="A131" s="107" t="s">
        <v>449</v>
      </c>
      <c r="B131" s="107" t="s">
        <v>450</v>
      </c>
      <c r="C131" s="107">
        <v>600</v>
      </c>
    </row>
    <row r="132" spans="1:3">
      <c r="A132" s="107" t="s">
        <v>451</v>
      </c>
      <c r="B132" s="107" t="s">
        <v>452</v>
      </c>
      <c r="C132" s="107">
        <v>10000</v>
      </c>
    </row>
    <row r="133" spans="1:3">
      <c r="A133" s="107" t="s">
        <v>453</v>
      </c>
      <c r="B133" s="107" t="s">
        <v>454</v>
      </c>
      <c r="C133" s="107">
        <v>254</v>
      </c>
    </row>
    <row r="134" spans="1:3">
      <c r="A134" s="107" t="s">
        <v>455</v>
      </c>
      <c r="B134" s="107" t="s">
        <v>456</v>
      </c>
      <c r="C134" s="107">
        <v>3000</v>
      </c>
    </row>
    <row r="135" spans="1:3">
      <c r="A135" s="107" t="s">
        <v>457</v>
      </c>
      <c r="B135" s="107" t="s">
        <v>458</v>
      </c>
      <c r="C135" s="107">
        <v>2600</v>
      </c>
    </row>
    <row r="136" spans="1:3">
      <c r="A136" s="107" t="s">
        <v>459</v>
      </c>
      <c r="B136" s="107" t="s">
        <v>460</v>
      </c>
      <c r="C136" s="107">
        <v>6</v>
      </c>
    </row>
    <row r="137" spans="1:3">
      <c r="A137" s="107" t="s">
        <v>461</v>
      </c>
      <c r="B137" s="107" t="s">
        <v>462</v>
      </c>
      <c r="C137" s="107">
        <v>300</v>
      </c>
    </row>
    <row r="138" spans="1:3">
      <c r="A138" s="107" t="s">
        <v>463</v>
      </c>
      <c r="B138" s="107" t="s">
        <v>464</v>
      </c>
      <c r="C138" s="107">
        <v>2500</v>
      </c>
    </row>
    <row r="139" spans="1:3">
      <c r="A139" s="107" t="s">
        <v>465</v>
      </c>
      <c r="B139" s="107" t="s">
        <v>466</v>
      </c>
      <c r="C139" s="107">
        <v>3200</v>
      </c>
    </row>
    <row r="140" spans="1:3">
      <c r="A140" s="107" t="s">
        <v>467</v>
      </c>
      <c r="B140" s="107" t="s">
        <v>468</v>
      </c>
      <c r="C140" s="107">
        <v>1600</v>
      </c>
    </row>
    <row r="141" spans="1:3">
      <c r="A141" s="107" t="s">
        <v>469</v>
      </c>
      <c r="B141" s="107" t="s">
        <v>470</v>
      </c>
      <c r="C141" s="107">
        <v>19300</v>
      </c>
    </row>
    <row r="142" spans="1:3">
      <c r="A142" s="107" t="s">
        <v>471</v>
      </c>
      <c r="B142" s="107" t="s">
        <v>472</v>
      </c>
      <c r="C142" s="107">
        <v>350</v>
      </c>
    </row>
    <row r="143" spans="1:3">
      <c r="A143" s="107" t="s">
        <v>473</v>
      </c>
      <c r="B143" s="107" t="s">
        <v>474</v>
      </c>
      <c r="C143" s="107">
        <v>16600</v>
      </c>
    </row>
    <row r="144" spans="1:3">
      <c r="A144" s="107" t="s">
        <v>475</v>
      </c>
      <c r="B144" s="107" t="s">
        <v>476</v>
      </c>
      <c r="C144" s="107">
        <v>3800</v>
      </c>
    </row>
    <row r="145" spans="1:3">
      <c r="A145" s="107" t="s">
        <v>477</v>
      </c>
      <c r="B145" s="107" t="s">
        <v>478</v>
      </c>
      <c r="C145" s="107">
        <v>12</v>
      </c>
    </row>
    <row r="146" spans="1:3">
      <c r="A146" s="107" t="s">
        <v>479</v>
      </c>
      <c r="B146" s="107" t="s">
        <v>480</v>
      </c>
      <c r="C146" s="107">
        <v>26500</v>
      </c>
    </row>
    <row r="147" spans="1:3">
      <c r="A147" s="107" t="s">
        <v>481</v>
      </c>
      <c r="B147" s="107" t="s">
        <v>482</v>
      </c>
      <c r="C147" s="107">
        <v>4800</v>
      </c>
    </row>
    <row r="148" spans="1:3">
      <c r="A148" s="107" t="s">
        <v>483</v>
      </c>
      <c r="B148" s="107" t="s">
        <v>484</v>
      </c>
      <c r="C148" s="107">
        <v>24200</v>
      </c>
    </row>
    <row r="149" spans="1:3">
      <c r="A149" s="107" t="s">
        <v>485</v>
      </c>
      <c r="B149" s="107" t="s">
        <v>486</v>
      </c>
      <c r="C149" s="107">
        <v>60</v>
      </c>
    </row>
    <row r="150" spans="1:3">
      <c r="A150" s="107" t="s">
        <v>487</v>
      </c>
      <c r="B150" s="107" t="s">
        <v>488</v>
      </c>
      <c r="C150" s="107">
        <v>230</v>
      </c>
    </row>
    <row r="151" spans="1:3">
      <c r="A151" s="107" t="s">
        <v>489</v>
      </c>
      <c r="B151" s="107" t="s">
        <v>490</v>
      </c>
      <c r="C151" s="107">
        <v>18200</v>
      </c>
    </row>
    <row r="152" spans="1:3">
      <c r="A152" s="107" t="s">
        <v>491</v>
      </c>
      <c r="B152" s="107" t="s">
        <v>492</v>
      </c>
      <c r="C152" s="107">
        <v>520</v>
      </c>
    </row>
    <row r="153" spans="1:3">
      <c r="A153" s="107" t="s">
        <v>493</v>
      </c>
      <c r="B153" s="107" t="s">
        <v>494</v>
      </c>
      <c r="C153" s="107">
        <v>259</v>
      </c>
    </row>
    <row r="154" spans="1:3">
      <c r="A154" s="107" t="s">
        <v>495</v>
      </c>
      <c r="B154" s="107" t="s">
        <v>496</v>
      </c>
      <c r="C154" s="107">
        <v>2000</v>
      </c>
    </row>
    <row r="155" spans="1:3">
      <c r="A155" s="107" t="s">
        <v>497</v>
      </c>
      <c r="B155" s="107" t="s">
        <v>498</v>
      </c>
      <c r="C155" s="107">
        <v>15400</v>
      </c>
    </row>
    <row r="156" spans="1:3">
      <c r="A156" s="107" t="s">
        <v>499</v>
      </c>
      <c r="B156" s="107" t="s">
        <v>500</v>
      </c>
      <c r="C156" s="107">
        <v>2300</v>
      </c>
    </row>
    <row r="157" spans="1:3">
      <c r="A157" s="107" t="s">
        <v>501</v>
      </c>
      <c r="B157" s="107" t="s">
        <v>502</v>
      </c>
      <c r="C157" s="107">
        <v>70</v>
      </c>
    </row>
    <row r="158" spans="1:3">
      <c r="A158" s="107" t="s">
        <v>503</v>
      </c>
      <c r="B158" s="107" t="s">
        <v>504</v>
      </c>
      <c r="C158" s="107">
        <v>390</v>
      </c>
    </row>
    <row r="159" spans="1:3">
      <c r="A159" s="107" t="s">
        <v>505</v>
      </c>
      <c r="B159" s="107" t="s">
        <v>506</v>
      </c>
      <c r="C159" s="107">
        <v>8100</v>
      </c>
    </row>
    <row r="160" spans="1:3">
      <c r="A160" s="107" t="s">
        <v>507</v>
      </c>
      <c r="B160" s="107" t="s">
        <v>508</v>
      </c>
      <c r="C160" s="107">
        <v>11300</v>
      </c>
    </row>
    <row r="161" spans="1:3">
      <c r="A161" s="107" t="s">
        <v>509</v>
      </c>
      <c r="B161" s="107" t="s">
        <v>510</v>
      </c>
      <c r="C161" s="107">
        <v>4100</v>
      </c>
    </row>
    <row r="162" spans="1:3">
      <c r="A162" s="107" t="s">
        <v>511</v>
      </c>
      <c r="B162" s="107" t="s">
        <v>512</v>
      </c>
      <c r="C162" s="107">
        <v>400</v>
      </c>
    </row>
    <row r="163" spans="1:3">
      <c r="A163" s="107" t="s">
        <v>513</v>
      </c>
      <c r="B163" s="107" t="s">
        <v>514</v>
      </c>
      <c r="C163" s="107">
        <v>2000</v>
      </c>
    </row>
    <row r="164" spans="1:3">
      <c r="A164" s="107" t="s">
        <v>515</v>
      </c>
      <c r="B164" s="107" t="s">
        <v>516</v>
      </c>
      <c r="C164" s="107">
        <v>8500</v>
      </c>
    </row>
    <row r="165" spans="1:3">
      <c r="A165" s="107" t="s">
        <v>517</v>
      </c>
      <c r="B165" s="107" t="s">
        <v>518</v>
      </c>
      <c r="C165" s="107">
        <v>2000</v>
      </c>
    </row>
    <row r="166" spans="1:3">
      <c r="A166" s="107" t="s">
        <v>519</v>
      </c>
      <c r="B166" s="107" t="s">
        <v>520</v>
      </c>
      <c r="C166" s="107">
        <v>45</v>
      </c>
    </row>
    <row r="167" spans="1:3">
      <c r="A167" s="107" t="s">
        <v>521</v>
      </c>
      <c r="B167" s="107" t="s">
        <v>522</v>
      </c>
      <c r="C167" s="107">
        <v>416</v>
      </c>
    </row>
    <row r="168" spans="1:3">
      <c r="A168" s="107" t="s">
        <v>523</v>
      </c>
      <c r="B168" s="107" t="s">
        <v>524</v>
      </c>
      <c r="C168" s="107">
        <v>600</v>
      </c>
    </row>
    <row r="169" spans="1:3">
      <c r="A169" s="107" t="s">
        <v>525</v>
      </c>
      <c r="B169" s="107" t="s">
        <v>526</v>
      </c>
      <c r="C169" s="107">
        <v>4100</v>
      </c>
    </row>
    <row r="170" spans="1:3">
      <c r="A170" s="107" t="s">
        <v>527</v>
      </c>
      <c r="B170" s="107" t="s">
        <v>528</v>
      </c>
      <c r="C170" s="107">
        <v>5100</v>
      </c>
    </row>
    <row r="171" spans="1:3">
      <c r="A171" s="107" t="s">
        <v>529</v>
      </c>
      <c r="B171" s="107" t="s">
        <v>530</v>
      </c>
      <c r="C171" s="107">
        <v>285</v>
      </c>
    </row>
    <row r="172" spans="1:3">
      <c r="A172" s="107" t="s">
        <v>531</v>
      </c>
      <c r="B172" s="107" t="s">
        <v>532</v>
      </c>
      <c r="C172" s="107">
        <v>500</v>
      </c>
    </row>
    <row r="173" spans="1:3">
      <c r="A173" s="107" t="s">
        <v>533</v>
      </c>
      <c r="B173" s="107" t="s">
        <v>534</v>
      </c>
      <c r="C173" s="107">
        <v>260</v>
      </c>
    </row>
    <row r="174" spans="1:3">
      <c r="A174" s="107" t="s">
        <v>535</v>
      </c>
      <c r="B174" s="107" t="s">
        <v>536</v>
      </c>
      <c r="C174" s="107">
        <v>60</v>
      </c>
    </row>
    <row r="175" spans="1:3">
      <c r="A175" s="107" t="s">
        <v>537</v>
      </c>
      <c r="B175" s="107" t="s">
        <v>538</v>
      </c>
      <c r="C175" s="107">
        <v>100</v>
      </c>
    </row>
    <row r="176" spans="1:3">
      <c r="A176" s="107" t="s">
        <v>539</v>
      </c>
      <c r="B176" s="107" t="s">
        <v>540</v>
      </c>
      <c r="C176" s="107">
        <v>200</v>
      </c>
    </row>
    <row r="177" spans="1:3">
      <c r="A177" s="107" t="s">
        <v>541</v>
      </c>
      <c r="B177" s="107" t="s">
        <v>542</v>
      </c>
      <c r="C177" s="107">
        <v>300</v>
      </c>
    </row>
    <row r="178" spans="1:3">
      <c r="A178" s="107" t="s">
        <v>543</v>
      </c>
      <c r="B178" s="107" t="s">
        <v>544</v>
      </c>
      <c r="C178" s="107">
        <v>540</v>
      </c>
    </row>
    <row r="179" spans="1:3">
      <c r="A179" s="107" t="s">
        <v>545</v>
      </c>
      <c r="B179" s="107" t="s">
        <v>546</v>
      </c>
      <c r="C179" s="107">
        <v>60</v>
      </c>
    </row>
    <row r="180" spans="1:3">
      <c r="A180" s="107" t="s">
        <v>547</v>
      </c>
      <c r="B180" s="107" t="s">
        <v>548</v>
      </c>
      <c r="C180" s="107">
        <v>70</v>
      </c>
    </row>
    <row r="181" spans="1:3">
      <c r="A181" s="107" t="s">
        <v>549</v>
      </c>
      <c r="B181" s="107" t="s">
        <v>550</v>
      </c>
      <c r="C181" s="107">
        <v>25</v>
      </c>
    </row>
    <row r="182" spans="1:3">
      <c r="A182" s="107" t="s">
        <v>551</v>
      </c>
      <c r="B182" s="107" t="s">
        <v>552</v>
      </c>
      <c r="C182" s="107">
        <v>6</v>
      </c>
    </row>
    <row r="183" spans="1:3">
      <c r="A183" s="107" t="s">
        <v>553</v>
      </c>
      <c r="B183" s="107" t="s">
        <v>554</v>
      </c>
      <c r="C183" s="107">
        <v>52</v>
      </c>
    </row>
    <row r="184" spans="1:3">
      <c r="A184" s="107" t="s">
        <v>555</v>
      </c>
      <c r="B184" s="107" t="s">
        <v>556</v>
      </c>
      <c r="C184" s="107">
        <v>450</v>
      </c>
    </row>
    <row r="185" spans="1:3">
      <c r="A185" s="107" t="s">
        <v>557</v>
      </c>
      <c r="B185" s="107" t="s">
        <v>558</v>
      </c>
      <c r="C185" s="107">
        <v>24</v>
      </c>
    </row>
    <row r="186" spans="1:3">
      <c r="A186" s="107" t="s">
        <v>559</v>
      </c>
      <c r="B186" s="107" t="s">
        <v>560</v>
      </c>
      <c r="C186" s="107">
        <v>380</v>
      </c>
    </row>
    <row r="187" spans="1:3">
      <c r="A187" s="107" t="s">
        <v>561</v>
      </c>
      <c r="B187" s="107" t="s">
        <v>562</v>
      </c>
      <c r="C187" s="107">
        <v>200</v>
      </c>
    </row>
    <row r="188" spans="1:3">
      <c r="A188" s="107" t="s">
        <v>563</v>
      </c>
      <c r="B188" s="107" t="s">
        <v>564</v>
      </c>
      <c r="C188" s="107">
        <v>62</v>
      </c>
    </row>
    <row r="189" spans="1:3">
      <c r="A189" s="107" t="s">
        <v>565</v>
      </c>
      <c r="B189" s="107" t="s">
        <v>566</v>
      </c>
      <c r="C189" s="107">
        <v>76</v>
      </c>
    </row>
    <row r="190" spans="1:3">
      <c r="A190" s="107" t="s">
        <v>567</v>
      </c>
      <c r="B190" s="107" t="s">
        <v>568</v>
      </c>
      <c r="C190" s="107">
        <v>120</v>
      </c>
    </row>
    <row r="191" spans="1:3">
      <c r="A191" s="107" t="s">
        <v>569</v>
      </c>
      <c r="B191" s="107" t="s">
        <v>570</v>
      </c>
      <c r="C191" s="107">
        <v>460</v>
      </c>
    </row>
    <row r="192" spans="1:3">
      <c r="A192" s="107" t="s">
        <v>571</v>
      </c>
      <c r="B192" s="107" t="s">
        <v>572</v>
      </c>
      <c r="C192" s="107">
        <v>450</v>
      </c>
    </row>
    <row r="193" spans="1:3">
      <c r="A193" s="107" t="s">
        <v>573</v>
      </c>
      <c r="B193" s="107" t="s">
        <v>574</v>
      </c>
      <c r="C193" s="107">
        <v>480</v>
      </c>
    </row>
    <row r="194" spans="1:3">
      <c r="A194" s="107" t="s">
        <v>575</v>
      </c>
      <c r="B194" s="107" t="s">
        <v>576</v>
      </c>
      <c r="C194" s="107">
        <v>35</v>
      </c>
    </row>
    <row r="195" spans="1:3">
      <c r="A195" s="107" t="s">
        <v>577</v>
      </c>
      <c r="B195" s="107" t="s">
        <v>578</v>
      </c>
      <c r="C195" s="107">
        <v>60</v>
      </c>
    </row>
    <row r="196" spans="1:3">
      <c r="A196" s="107" t="s">
        <v>579</v>
      </c>
      <c r="B196" s="107" t="s">
        <v>580</v>
      </c>
      <c r="C196" s="107">
        <v>220</v>
      </c>
    </row>
    <row r="197" spans="1:3">
      <c r="A197" s="107" t="s">
        <v>581</v>
      </c>
      <c r="B197" s="107" t="s">
        <v>582</v>
      </c>
      <c r="C197" s="107">
        <v>240</v>
      </c>
    </row>
    <row r="198" spans="1:3">
      <c r="A198" s="107" t="s">
        <v>583</v>
      </c>
      <c r="B198" s="107" t="s">
        <v>584</v>
      </c>
      <c r="C198" s="107">
        <v>100</v>
      </c>
    </row>
    <row r="199" spans="1:3">
      <c r="A199" s="107" t="s">
        <v>585</v>
      </c>
      <c r="B199" s="107" t="s">
        <v>586</v>
      </c>
      <c r="C199" s="107">
        <v>560</v>
      </c>
    </row>
    <row r="200" spans="1:3">
      <c r="A200" s="107" t="s">
        <v>587</v>
      </c>
      <c r="B200" s="107" t="s">
        <v>588</v>
      </c>
      <c r="C200" s="107">
        <v>100</v>
      </c>
    </row>
    <row r="201" spans="1:3">
      <c r="A201" s="107" t="s">
        <v>589</v>
      </c>
      <c r="B201" s="107" t="s">
        <v>590</v>
      </c>
      <c r="C201" s="107">
        <v>40</v>
      </c>
    </row>
    <row r="202" spans="1:3">
      <c r="A202" s="107" t="s">
        <v>591</v>
      </c>
      <c r="B202" s="107" t="s">
        <v>592</v>
      </c>
      <c r="C202" s="107">
        <v>780</v>
      </c>
    </row>
    <row r="203" spans="1:3">
      <c r="A203" s="107" t="s">
        <v>593</v>
      </c>
      <c r="B203" s="107" t="s">
        <v>594</v>
      </c>
      <c r="C203" s="107">
        <v>400</v>
      </c>
    </row>
    <row r="204" spans="1:3">
      <c r="A204" s="107" t="s">
        <v>595</v>
      </c>
      <c r="B204" s="107" t="s">
        <v>596</v>
      </c>
      <c r="C204" s="107">
        <v>660</v>
      </c>
    </row>
    <row r="205" spans="1:3">
      <c r="A205" s="107" t="s">
        <v>597</v>
      </c>
      <c r="B205" s="107" t="s">
        <v>598</v>
      </c>
      <c r="C205" s="107">
        <v>200</v>
      </c>
    </row>
    <row r="206" spans="1:3">
      <c r="A206" s="107" t="s">
        <v>599</v>
      </c>
      <c r="B206" s="107" t="s">
        <v>600</v>
      </c>
      <c r="C206" s="107">
        <v>208</v>
      </c>
    </row>
    <row r="207" spans="1:3">
      <c r="A207" s="107" t="s">
        <v>601</v>
      </c>
      <c r="B207" s="107" t="s">
        <v>602</v>
      </c>
      <c r="C207" s="107">
        <v>106</v>
      </c>
    </row>
    <row r="208" spans="1:3">
      <c r="A208" s="107" t="s">
        <v>603</v>
      </c>
      <c r="B208" s="107" t="s">
        <v>604</v>
      </c>
      <c r="C208" s="107">
        <v>60</v>
      </c>
    </row>
    <row r="209" spans="1:3">
      <c r="A209" s="107" t="s">
        <v>605</v>
      </c>
      <c r="B209" s="107" t="s">
        <v>606</v>
      </c>
      <c r="C209" s="107">
        <v>190</v>
      </c>
    </row>
    <row r="210" spans="1:3">
      <c r="A210" s="107" t="s">
        <v>607</v>
      </c>
      <c r="B210" s="107" t="s">
        <v>608</v>
      </c>
      <c r="C210" s="107">
        <v>50</v>
      </c>
    </row>
    <row r="211" spans="1:3">
      <c r="A211" s="107" t="s">
        <v>609</v>
      </c>
      <c r="B211" s="107" t="s">
        <v>610</v>
      </c>
      <c r="C211" s="107">
        <v>840</v>
      </c>
    </row>
    <row r="212" spans="1:3">
      <c r="A212" s="107" t="s">
        <v>611</v>
      </c>
      <c r="B212" s="107" t="s">
        <v>612</v>
      </c>
      <c r="C212" s="107">
        <v>3000</v>
      </c>
    </row>
    <row r="213" spans="1:3">
      <c r="A213" s="108" t="s">
        <v>318</v>
      </c>
      <c r="B213" s="108" t="s">
        <v>319</v>
      </c>
      <c r="C213" s="107">
        <v>100</v>
      </c>
    </row>
    <row r="214" spans="1:3">
      <c r="A214" s="108" t="s">
        <v>321</v>
      </c>
      <c r="B214" s="108" t="s">
        <v>322</v>
      </c>
      <c r="C214" s="107">
        <v>260</v>
      </c>
    </row>
    <row r="215" spans="1:3">
      <c r="A215" s="108" t="s">
        <v>324</v>
      </c>
      <c r="B215" s="108" t="s">
        <v>325</v>
      </c>
      <c r="C215" s="107">
        <v>8</v>
      </c>
    </row>
    <row r="216" spans="1:3">
      <c r="A216" s="108" t="s">
        <v>327</v>
      </c>
      <c r="B216" s="108" t="s">
        <v>328</v>
      </c>
      <c r="C216" s="107">
        <v>60</v>
      </c>
    </row>
    <row r="217" spans="1:3">
      <c r="A217" s="108" t="s">
        <v>330</v>
      </c>
      <c r="B217" s="108" t="s">
        <v>331</v>
      </c>
      <c r="C217" s="107">
        <v>210</v>
      </c>
    </row>
    <row r="218" spans="1:3">
      <c r="A218" s="108" t="s">
        <v>333</v>
      </c>
      <c r="B218" s="108" t="s">
        <v>334</v>
      </c>
      <c r="C218" s="107">
        <v>1140</v>
      </c>
    </row>
    <row r="219" spans="1:3">
      <c r="A219" s="108" t="s">
        <v>336</v>
      </c>
      <c r="B219" s="108" t="s">
        <v>337</v>
      </c>
      <c r="C219" s="107">
        <v>2100</v>
      </c>
    </row>
    <row r="220" spans="1:3">
      <c r="A220" s="108" t="s">
        <v>339</v>
      </c>
      <c r="B220" s="108" t="s">
        <v>340</v>
      </c>
      <c r="C220" s="107">
        <v>96</v>
      </c>
    </row>
    <row r="221" spans="1:3">
      <c r="A221" s="107" t="s">
        <v>70</v>
      </c>
      <c r="C221" s="107">
        <v>562968.077</v>
      </c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E32" sqref="E32"/>
    </sheetView>
  </sheetViews>
  <sheetFormatPr defaultColWidth="9" defaultRowHeight="13.5" outlineLevelCol="6"/>
  <cols>
    <col min="1" max="1" width="7.375" customWidth="1"/>
    <col min="2" max="2" width="4.375" customWidth="1"/>
    <col min="3" max="3" width="17.125" customWidth="1"/>
    <col min="4" max="4" width="42.75" customWidth="1"/>
    <col min="5" max="5" width="36.25" customWidth="1"/>
    <col min="6" max="6" width="34.5" customWidth="1"/>
    <col min="7" max="7" width="10.875" customWidth="1"/>
  </cols>
  <sheetData>
    <row r="1" customFormat="1" spans="1:7">
      <c r="A1" s="105"/>
      <c r="B1" s="105"/>
      <c r="C1" s="105" t="s">
        <v>31</v>
      </c>
      <c r="D1" s="105" t="s">
        <v>32</v>
      </c>
      <c r="E1" s="105" t="s">
        <v>613</v>
      </c>
      <c r="F1" s="43" t="s">
        <v>614</v>
      </c>
      <c r="G1" s="106" t="s">
        <v>615</v>
      </c>
    </row>
    <row r="2" customFormat="1" spans="1:7">
      <c r="A2" s="105" t="s">
        <v>7</v>
      </c>
      <c r="B2" s="105" t="s">
        <v>616</v>
      </c>
      <c r="C2" s="105" t="s">
        <v>617</v>
      </c>
      <c r="D2" s="105" t="s">
        <v>618</v>
      </c>
      <c r="E2" s="105" t="s">
        <v>35</v>
      </c>
      <c r="F2" s="43" t="s">
        <v>619</v>
      </c>
      <c r="G2" s="106">
        <v>4680</v>
      </c>
    </row>
    <row r="3" customFormat="1" spans="1:7">
      <c r="A3" s="105" t="s">
        <v>7</v>
      </c>
      <c r="B3" s="105" t="s">
        <v>620</v>
      </c>
      <c r="C3" s="105" t="s">
        <v>621</v>
      </c>
      <c r="D3" s="105" t="s">
        <v>622</v>
      </c>
      <c r="E3" s="105" t="s">
        <v>35</v>
      </c>
      <c r="F3" s="43" t="s">
        <v>623</v>
      </c>
      <c r="G3" s="106">
        <v>2624</v>
      </c>
    </row>
    <row r="4" customFormat="1" spans="1:7">
      <c r="A4" s="105" t="s">
        <v>7</v>
      </c>
      <c r="B4" s="105" t="s">
        <v>624</v>
      </c>
      <c r="C4" s="105" t="s">
        <v>625</v>
      </c>
      <c r="D4" s="105" t="s">
        <v>626</v>
      </c>
      <c r="E4" s="105" t="s">
        <v>35</v>
      </c>
      <c r="F4" s="43" t="s">
        <v>627</v>
      </c>
      <c r="G4" s="106">
        <v>11800</v>
      </c>
    </row>
    <row r="5" spans="1:7">
      <c r="A5" s="105" t="s">
        <v>7</v>
      </c>
      <c r="B5" s="105" t="s">
        <v>628</v>
      </c>
      <c r="C5" s="105" t="s">
        <v>629</v>
      </c>
      <c r="D5" s="105" t="s">
        <v>630</v>
      </c>
      <c r="E5" s="105" t="s">
        <v>35</v>
      </c>
      <c r="F5" s="43" t="s">
        <v>631</v>
      </c>
      <c r="G5" s="106">
        <v>432</v>
      </c>
    </row>
    <row r="6" spans="1:7">
      <c r="A6" s="105" t="s">
        <v>16</v>
      </c>
      <c r="B6" s="105" t="s">
        <v>632</v>
      </c>
      <c r="C6" s="131" t="s">
        <v>633</v>
      </c>
      <c r="D6" s="105" t="s">
        <v>634</v>
      </c>
      <c r="E6" s="105" t="s">
        <v>44</v>
      </c>
      <c r="F6" s="43" t="s">
        <v>635</v>
      </c>
      <c r="G6" s="106">
        <v>500</v>
      </c>
    </row>
    <row r="7" spans="1:7">
      <c r="A7" s="105" t="s">
        <v>6</v>
      </c>
      <c r="B7" s="105" t="s">
        <v>636</v>
      </c>
      <c r="C7" s="105" t="s">
        <v>318</v>
      </c>
      <c r="D7" s="105" t="s">
        <v>319</v>
      </c>
      <c r="E7" s="105" t="s">
        <v>34</v>
      </c>
      <c r="F7" s="43" t="s">
        <v>637</v>
      </c>
      <c r="G7" s="106">
        <v>7600</v>
      </c>
    </row>
    <row r="8" spans="1:7">
      <c r="A8" s="105" t="s">
        <v>6</v>
      </c>
      <c r="B8" s="105" t="s">
        <v>638</v>
      </c>
      <c r="C8" s="105" t="s">
        <v>639</v>
      </c>
      <c r="D8" s="105" t="s">
        <v>640</v>
      </c>
      <c r="E8" s="105" t="s">
        <v>34</v>
      </c>
      <c r="F8" s="43" t="s">
        <v>641</v>
      </c>
      <c r="G8" s="106">
        <v>87.5</v>
      </c>
    </row>
    <row r="9" spans="1:7">
      <c r="A9" s="105" t="s">
        <v>22</v>
      </c>
      <c r="B9" s="105" t="s">
        <v>620</v>
      </c>
      <c r="C9" s="105" t="s">
        <v>642</v>
      </c>
      <c r="D9" s="105" t="s">
        <v>643</v>
      </c>
      <c r="E9" s="105" t="s">
        <v>52</v>
      </c>
      <c r="F9" s="43" t="s">
        <v>623</v>
      </c>
      <c r="G9" s="106">
        <v>3160</v>
      </c>
    </row>
    <row r="10" spans="1:7">
      <c r="A10" s="105" t="s">
        <v>22</v>
      </c>
      <c r="B10" s="105" t="s">
        <v>624</v>
      </c>
      <c r="C10" s="105" t="s">
        <v>644</v>
      </c>
      <c r="D10" s="105" t="s">
        <v>645</v>
      </c>
      <c r="E10" s="105" t="s">
        <v>52</v>
      </c>
      <c r="F10" s="43" t="s">
        <v>627</v>
      </c>
      <c r="G10" s="106">
        <v>300</v>
      </c>
    </row>
    <row r="11" spans="1:7">
      <c r="A11" s="105" t="s">
        <v>18</v>
      </c>
      <c r="B11" s="105" t="s">
        <v>616</v>
      </c>
      <c r="C11" s="105" t="s">
        <v>646</v>
      </c>
      <c r="D11" s="105" t="s">
        <v>647</v>
      </c>
      <c r="E11" s="105" t="s">
        <v>648</v>
      </c>
      <c r="F11" s="43" t="s">
        <v>649</v>
      </c>
      <c r="G11" s="106">
        <v>300</v>
      </c>
    </row>
    <row r="12" spans="1:7">
      <c r="A12" s="105" t="s">
        <v>18</v>
      </c>
      <c r="B12" s="105" t="s">
        <v>650</v>
      </c>
      <c r="C12" s="105" t="s">
        <v>651</v>
      </c>
      <c r="D12" s="105" t="s">
        <v>652</v>
      </c>
      <c r="E12" s="105" t="s">
        <v>648</v>
      </c>
      <c r="F12" s="43" t="s">
        <v>653</v>
      </c>
      <c r="G12" s="106">
        <v>667.2</v>
      </c>
    </row>
    <row r="13" spans="1:7">
      <c r="A13" s="105" t="s">
        <v>18</v>
      </c>
      <c r="B13" s="105" t="s">
        <v>620</v>
      </c>
      <c r="C13" s="105" t="s">
        <v>324</v>
      </c>
      <c r="D13" s="105" t="s">
        <v>325</v>
      </c>
      <c r="E13" s="105" t="s">
        <v>654</v>
      </c>
      <c r="F13" s="43" t="s">
        <v>623</v>
      </c>
      <c r="G13" s="106">
        <v>1800</v>
      </c>
    </row>
    <row r="14" spans="1:7">
      <c r="A14" s="105" t="s">
        <v>18</v>
      </c>
      <c r="B14" s="105" t="s">
        <v>655</v>
      </c>
      <c r="C14" s="105" t="s">
        <v>656</v>
      </c>
      <c r="D14" s="105" t="s">
        <v>657</v>
      </c>
      <c r="E14" s="105" t="s">
        <v>658</v>
      </c>
      <c r="F14" s="43" t="s">
        <v>659</v>
      </c>
      <c r="G14" s="106">
        <v>528</v>
      </c>
    </row>
    <row r="15" spans="1:7">
      <c r="A15" s="105" t="s">
        <v>18</v>
      </c>
      <c r="B15" s="105" t="s">
        <v>660</v>
      </c>
      <c r="C15" s="105" t="s">
        <v>661</v>
      </c>
      <c r="D15" s="105" t="s">
        <v>662</v>
      </c>
      <c r="E15" s="105" t="s">
        <v>663</v>
      </c>
      <c r="F15" s="43" t="s">
        <v>664</v>
      </c>
      <c r="G15" s="106">
        <v>940</v>
      </c>
    </row>
    <row r="16" spans="1:7">
      <c r="A16" s="105" t="s">
        <v>18</v>
      </c>
      <c r="B16" s="105" t="s">
        <v>665</v>
      </c>
      <c r="C16" s="105" t="s">
        <v>666</v>
      </c>
      <c r="D16" s="105" t="s">
        <v>667</v>
      </c>
      <c r="E16" s="105" t="s">
        <v>668</v>
      </c>
      <c r="F16" s="43" t="s">
        <v>669</v>
      </c>
      <c r="G16" s="106">
        <v>1380</v>
      </c>
    </row>
    <row r="17" spans="1:7">
      <c r="A17" s="105" t="s">
        <v>11</v>
      </c>
      <c r="B17" s="105" t="s">
        <v>636</v>
      </c>
      <c r="C17" s="105" t="s">
        <v>670</v>
      </c>
      <c r="D17" s="105" t="s">
        <v>671</v>
      </c>
      <c r="E17" s="105" t="s">
        <v>39</v>
      </c>
      <c r="F17" s="43" t="s">
        <v>672</v>
      </c>
      <c r="G17" s="106">
        <v>700</v>
      </c>
    </row>
    <row r="18" spans="1:7">
      <c r="A18" s="105" t="s">
        <v>11</v>
      </c>
      <c r="B18" s="105" t="s">
        <v>673</v>
      </c>
      <c r="C18" s="105" t="s">
        <v>674</v>
      </c>
      <c r="D18" s="105" t="s">
        <v>675</v>
      </c>
      <c r="E18" s="105" t="s">
        <v>39</v>
      </c>
      <c r="F18" s="43" t="s">
        <v>676</v>
      </c>
      <c r="G18" s="106">
        <v>2100</v>
      </c>
    </row>
    <row r="19" spans="1:7">
      <c r="A19" s="105" t="s">
        <v>11</v>
      </c>
      <c r="B19" s="105" t="s">
        <v>677</v>
      </c>
      <c r="C19" s="105" t="s">
        <v>678</v>
      </c>
      <c r="D19" s="105" t="s">
        <v>679</v>
      </c>
      <c r="E19" s="105" t="s">
        <v>39</v>
      </c>
      <c r="F19" s="43" t="s">
        <v>680</v>
      </c>
      <c r="G19" s="106">
        <v>836</v>
      </c>
    </row>
    <row r="20" spans="1:7">
      <c r="A20" s="105" t="s">
        <v>10</v>
      </c>
      <c r="B20" s="105">
        <v>510</v>
      </c>
      <c r="C20" s="105" t="s">
        <v>681</v>
      </c>
      <c r="D20" s="105" t="s">
        <v>682</v>
      </c>
      <c r="E20" s="105" t="s">
        <v>682</v>
      </c>
      <c r="F20" s="43" t="s">
        <v>683</v>
      </c>
      <c r="G20" s="106">
        <v>200</v>
      </c>
    </row>
    <row r="21" spans="1:7">
      <c r="A21" s="105" t="s">
        <v>10</v>
      </c>
      <c r="B21" s="105">
        <v>600</v>
      </c>
      <c r="C21" s="105" t="s">
        <v>684</v>
      </c>
      <c r="D21" s="105" t="s">
        <v>685</v>
      </c>
      <c r="E21" s="105" t="s">
        <v>685</v>
      </c>
      <c r="F21" s="43" t="s">
        <v>686</v>
      </c>
      <c r="G21" s="106">
        <v>200</v>
      </c>
    </row>
    <row r="22" spans="1:7">
      <c r="A22" s="105" t="s">
        <v>20</v>
      </c>
      <c r="B22" s="105" t="s">
        <v>632</v>
      </c>
      <c r="C22" s="105" t="s">
        <v>687</v>
      </c>
      <c r="D22" s="105" t="s">
        <v>688</v>
      </c>
      <c r="E22" s="105" t="s">
        <v>49</v>
      </c>
      <c r="F22" s="43" t="s">
        <v>635</v>
      </c>
      <c r="G22" s="106">
        <v>5000</v>
      </c>
    </row>
    <row r="23" spans="1:7">
      <c r="A23" s="105" t="s">
        <v>20</v>
      </c>
      <c r="B23" s="105" t="s">
        <v>689</v>
      </c>
      <c r="C23" s="105" t="s">
        <v>690</v>
      </c>
      <c r="D23" s="105" t="s">
        <v>691</v>
      </c>
      <c r="E23" s="105" t="s">
        <v>49</v>
      </c>
      <c r="F23" s="43" t="s">
        <v>692</v>
      </c>
      <c r="G23" s="106">
        <v>2000</v>
      </c>
    </row>
    <row r="24" spans="1:7">
      <c r="A24" s="105" t="s">
        <v>20</v>
      </c>
      <c r="B24" s="105" t="s">
        <v>624</v>
      </c>
      <c r="C24" s="105" t="s">
        <v>693</v>
      </c>
      <c r="D24" s="105" t="s">
        <v>694</v>
      </c>
      <c r="E24" s="105" t="s">
        <v>49</v>
      </c>
      <c r="F24" s="43" t="s">
        <v>627</v>
      </c>
      <c r="G24" s="106">
        <v>1500</v>
      </c>
    </row>
    <row r="25" spans="1:7">
      <c r="A25" s="105" t="s">
        <v>23</v>
      </c>
      <c r="B25" s="105" t="s">
        <v>695</v>
      </c>
      <c r="C25" s="105" t="s">
        <v>696</v>
      </c>
      <c r="D25" s="105" t="s">
        <v>697</v>
      </c>
      <c r="E25" s="105" t="s">
        <v>53</v>
      </c>
      <c r="F25" s="43" t="s">
        <v>698</v>
      </c>
      <c r="G25" s="106">
        <v>48</v>
      </c>
    </row>
    <row r="26" spans="1:7">
      <c r="A26" s="105" t="s">
        <v>23</v>
      </c>
      <c r="B26" s="105" t="s">
        <v>655</v>
      </c>
      <c r="C26" s="105" t="s">
        <v>699</v>
      </c>
      <c r="D26" s="105" t="s">
        <v>700</v>
      </c>
      <c r="E26" s="105" t="s">
        <v>53</v>
      </c>
      <c r="F26" s="43" t="s">
        <v>659</v>
      </c>
      <c r="G26" s="106">
        <v>240</v>
      </c>
    </row>
    <row r="27" spans="1:7">
      <c r="A27" s="105" t="s">
        <v>14</v>
      </c>
      <c r="B27" s="105" t="s">
        <v>632</v>
      </c>
      <c r="C27" s="105" t="s">
        <v>701</v>
      </c>
      <c r="D27" s="105" t="s">
        <v>702</v>
      </c>
      <c r="E27" s="105" t="s">
        <v>42</v>
      </c>
      <c r="F27" s="43" t="s">
        <v>703</v>
      </c>
      <c r="G27" s="106">
        <v>900</v>
      </c>
    </row>
    <row r="28" spans="1:7">
      <c r="A28" s="105" t="s">
        <v>14</v>
      </c>
      <c r="B28" s="105" t="s">
        <v>704</v>
      </c>
      <c r="C28" s="105" t="s">
        <v>705</v>
      </c>
      <c r="D28" s="105" t="s">
        <v>706</v>
      </c>
      <c r="E28" s="105" t="s">
        <v>42</v>
      </c>
      <c r="F28" s="43" t="s">
        <v>676</v>
      </c>
      <c r="G28" s="106">
        <v>2060</v>
      </c>
    </row>
    <row r="29" spans="1:7">
      <c r="A29" s="105" t="s">
        <v>14</v>
      </c>
      <c r="B29" s="105" t="s">
        <v>624</v>
      </c>
      <c r="C29" s="105" t="s">
        <v>707</v>
      </c>
      <c r="D29" s="105" t="s">
        <v>708</v>
      </c>
      <c r="E29" s="105" t="s">
        <v>42</v>
      </c>
      <c r="F29" s="43" t="s">
        <v>709</v>
      </c>
      <c r="G29" s="106">
        <v>1030</v>
      </c>
    </row>
    <row r="30" spans="1:7">
      <c r="A30" s="105" t="s">
        <v>24</v>
      </c>
      <c r="B30" s="105" t="s">
        <v>632</v>
      </c>
      <c r="C30" s="105" t="s">
        <v>710</v>
      </c>
      <c r="D30" s="105" t="s">
        <v>711</v>
      </c>
      <c r="E30" s="105" t="s">
        <v>54</v>
      </c>
      <c r="F30" s="43" t="s">
        <v>635</v>
      </c>
      <c r="G30" s="106">
        <v>3600</v>
      </c>
    </row>
    <row r="31" spans="1:7">
      <c r="A31" s="105" t="s">
        <v>8</v>
      </c>
      <c r="B31" s="105" t="s">
        <v>632</v>
      </c>
      <c r="C31" s="105" t="s">
        <v>712</v>
      </c>
      <c r="D31" s="105" t="s">
        <v>713</v>
      </c>
      <c r="E31" s="105" t="s">
        <v>36</v>
      </c>
      <c r="F31" s="43" t="s">
        <v>635</v>
      </c>
      <c r="G31" s="106">
        <v>2040</v>
      </c>
    </row>
    <row r="32" spans="1:7">
      <c r="A32" s="105" t="s">
        <v>8</v>
      </c>
      <c r="B32" s="105" t="s">
        <v>620</v>
      </c>
      <c r="C32" s="105" t="s">
        <v>714</v>
      </c>
      <c r="D32" s="105" t="s">
        <v>715</v>
      </c>
      <c r="E32" s="105" t="s">
        <v>36</v>
      </c>
      <c r="F32" s="43" t="s">
        <v>623</v>
      </c>
      <c r="G32" s="106">
        <v>256</v>
      </c>
    </row>
    <row r="33" spans="1:7">
      <c r="A33" s="105" t="s">
        <v>13</v>
      </c>
      <c r="B33" s="105" t="s">
        <v>704</v>
      </c>
      <c r="C33" s="131" t="s">
        <v>716</v>
      </c>
      <c r="D33" s="105" t="s">
        <v>717</v>
      </c>
      <c r="E33" s="105" t="s">
        <v>41</v>
      </c>
      <c r="F33" s="43" t="s">
        <v>676</v>
      </c>
      <c r="G33" s="106">
        <v>200</v>
      </c>
    </row>
    <row r="34" spans="1:7">
      <c r="A34" s="105" t="s">
        <v>15</v>
      </c>
      <c r="B34" s="105" t="s">
        <v>718</v>
      </c>
      <c r="C34" s="105" t="s">
        <v>719</v>
      </c>
      <c r="D34" s="105" t="s">
        <v>720</v>
      </c>
      <c r="E34" s="105" t="s">
        <v>43</v>
      </c>
      <c r="F34" s="43" t="s">
        <v>721</v>
      </c>
      <c r="G34" s="106">
        <v>512</v>
      </c>
    </row>
    <row r="35" spans="1:7">
      <c r="A35" s="105" t="s">
        <v>15</v>
      </c>
      <c r="B35" s="105" t="s">
        <v>632</v>
      </c>
      <c r="C35" s="105" t="s">
        <v>327</v>
      </c>
      <c r="D35" s="105" t="s">
        <v>328</v>
      </c>
      <c r="E35" s="105" t="s">
        <v>43</v>
      </c>
      <c r="F35" s="43" t="s">
        <v>703</v>
      </c>
      <c r="G35" s="106">
        <v>3540</v>
      </c>
    </row>
    <row r="36" spans="1:7">
      <c r="A36" s="105" t="s">
        <v>15</v>
      </c>
      <c r="B36" s="105" t="s">
        <v>722</v>
      </c>
      <c r="C36" s="105" t="s">
        <v>723</v>
      </c>
      <c r="D36" s="105" t="s">
        <v>724</v>
      </c>
      <c r="E36" s="105" t="s">
        <v>725</v>
      </c>
      <c r="F36" s="43" t="s">
        <v>726</v>
      </c>
      <c r="G36" s="106">
        <v>900</v>
      </c>
    </row>
    <row r="37" spans="1:7">
      <c r="A37" s="105" t="s">
        <v>15</v>
      </c>
      <c r="B37" s="105" t="s">
        <v>620</v>
      </c>
      <c r="C37" s="105" t="s">
        <v>727</v>
      </c>
      <c r="D37" s="105" t="s">
        <v>728</v>
      </c>
      <c r="E37" s="105" t="s">
        <v>729</v>
      </c>
      <c r="F37" s="43" t="s">
        <v>730</v>
      </c>
      <c r="G37" s="106">
        <v>1520</v>
      </c>
    </row>
    <row r="38" spans="1:7">
      <c r="A38" s="105" t="s">
        <v>15</v>
      </c>
      <c r="B38" s="105" t="s">
        <v>628</v>
      </c>
      <c r="C38" s="105" t="s">
        <v>731</v>
      </c>
      <c r="D38" s="105" t="s">
        <v>732</v>
      </c>
      <c r="E38" s="105" t="s">
        <v>43</v>
      </c>
      <c r="F38" s="43" t="s">
        <v>733</v>
      </c>
      <c r="G38" s="106">
        <v>48</v>
      </c>
    </row>
    <row r="39" spans="1:7">
      <c r="A39" s="105" t="s">
        <v>9</v>
      </c>
      <c r="B39" s="105" t="s">
        <v>650</v>
      </c>
      <c r="C39" s="105" t="s">
        <v>734</v>
      </c>
      <c r="D39" s="105" t="s">
        <v>735</v>
      </c>
      <c r="E39" s="105" t="s">
        <v>37</v>
      </c>
      <c r="F39" s="43" t="s">
        <v>736</v>
      </c>
      <c r="G39" s="106">
        <v>240</v>
      </c>
    </row>
    <row r="40" spans="1:7">
      <c r="A40" s="105" t="s">
        <v>21</v>
      </c>
      <c r="B40" s="105" t="s">
        <v>636</v>
      </c>
      <c r="C40" s="105" t="s">
        <v>737</v>
      </c>
      <c r="D40" s="105" t="s">
        <v>738</v>
      </c>
      <c r="E40" s="105" t="s">
        <v>50</v>
      </c>
      <c r="F40" s="43" t="s">
        <v>637</v>
      </c>
      <c r="G40" s="106">
        <v>2000</v>
      </c>
    </row>
    <row r="41" spans="1:7">
      <c r="A41" s="105" t="s">
        <v>19</v>
      </c>
      <c r="B41" s="105" t="s">
        <v>636</v>
      </c>
      <c r="C41" s="105" t="s">
        <v>330</v>
      </c>
      <c r="D41" s="105" t="s">
        <v>331</v>
      </c>
      <c r="E41" s="105" t="s">
        <v>47</v>
      </c>
      <c r="F41" s="43" t="s">
        <v>637</v>
      </c>
      <c r="G41" s="106">
        <v>5530</v>
      </c>
    </row>
    <row r="42" spans="1:7">
      <c r="A42" s="105" t="s">
        <v>19</v>
      </c>
      <c r="B42" s="105" t="s">
        <v>739</v>
      </c>
      <c r="C42" s="105" t="s">
        <v>740</v>
      </c>
      <c r="D42" s="105" t="s">
        <v>741</v>
      </c>
      <c r="E42" s="105" t="s">
        <v>47</v>
      </c>
      <c r="F42" s="43" t="s">
        <v>742</v>
      </c>
      <c r="G42" s="106">
        <v>200</v>
      </c>
    </row>
    <row r="43" spans="1:7">
      <c r="A43" s="105" t="s">
        <v>12</v>
      </c>
      <c r="B43" s="105" t="s">
        <v>632</v>
      </c>
      <c r="C43" s="105" t="s">
        <v>743</v>
      </c>
      <c r="D43" s="105" t="s">
        <v>744</v>
      </c>
      <c r="E43" s="105" t="s">
        <v>40</v>
      </c>
      <c r="F43" s="43" t="s">
        <v>703</v>
      </c>
      <c r="G43" s="106">
        <v>200</v>
      </c>
    </row>
    <row r="44" spans="1:7">
      <c r="A44" s="105" t="s">
        <v>12</v>
      </c>
      <c r="B44" s="105" t="s">
        <v>745</v>
      </c>
      <c r="C44" s="105" t="s">
        <v>746</v>
      </c>
      <c r="D44" s="105" t="s">
        <v>747</v>
      </c>
      <c r="E44" s="105" t="s">
        <v>40</v>
      </c>
      <c r="F44" s="43" t="s">
        <v>748</v>
      </c>
      <c r="G44" s="106">
        <v>1344</v>
      </c>
    </row>
    <row r="45" spans="1:7">
      <c r="A45" s="105" t="s">
        <v>17</v>
      </c>
      <c r="B45" s="105" t="s">
        <v>749</v>
      </c>
      <c r="C45" s="131" t="s">
        <v>750</v>
      </c>
      <c r="D45" s="105" t="s">
        <v>751</v>
      </c>
      <c r="E45" s="105" t="s">
        <v>752</v>
      </c>
      <c r="F45" s="43" t="s">
        <v>753</v>
      </c>
      <c r="G45" s="106">
        <v>1024</v>
      </c>
    </row>
    <row r="46" spans="1:7">
      <c r="A46" s="105" t="s">
        <v>17</v>
      </c>
      <c r="B46" s="105" t="s">
        <v>665</v>
      </c>
      <c r="C46" s="105" t="s">
        <v>754</v>
      </c>
      <c r="D46" s="105" t="s">
        <v>755</v>
      </c>
      <c r="E46" s="105" t="s">
        <v>752</v>
      </c>
      <c r="F46" s="43" t="s">
        <v>669</v>
      </c>
      <c r="G46" s="106">
        <v>600</v>
      </c>
    </row>
    <row r="47" spans="1:7">
      <c r="A47" s="105" t="s">
        <v>17</v>
      </c>
      <c r="B47" s="105" t="s">
        <v>624</v>
      </c>
      <c r="C47" s="105" t="s">
        <v>756</v>
      </c>
      <c r="D47" s="105" t="s">
        <v>757</v>
      </c>
      <c r="E47" s="105" t="s">
        <v>758</v>
      </c>
      <c r="F47" s="43" t="s">
        <v>627</v>
      </c>
      <c r="G47" s="106">
        <v>250</v>
      </c>
    </row>
    <row r="48" spans="1:7">
      <c r="A48" s="105" t="s">
        <v>759</v>
      </c>
      <c r="B48" s="105" t="s">
        <v>632</v>
      </c>
      <c r="C48" s="105" t="s">
        <v>336</v>
      </c>
      <c r="D48" s="105" t="s">
        <v>337</v>
      </c>
      <c r="E48" s="105" t="s">
        <v>59</v>
      </c>
      <c r="F48" s="43" t="s">
        <v>635</v>
      </c>
      <c r="G48" s="106">
        <v>8900</v>
      </c>
    </row>
    <row r="49" spans="1:7">
      <c r="A49" s="105" t="s">
        <v>760</v>
      </c>
      <c r="B49" s="105" t="s">
        <v>761</v>
      </c>
      <c r="C49" s="105" t="s">
        <v>762</v>
      </c>
      <c r="D49" s="105" t="s">
        <v>763</v>
      </c>
      <c r="E49" s="105" t="s">
        <v>58</v>
      </c>
      <c r="F49" s="43" t="s">
        <v>764</v>
      </c>
      <c r="G49" s="106">
        <v>800</v>
      </c>
    </row>
    <row r="50" spans="1:7">
      <c r="A50" s="105" t="s">
        <v>765</v>
      </c>
      <c r="B50" s="105" t="s">
        <v>620</v>
      </c>
      <c r="C50" s="105" t="s">
        <v>766</v>
      </c>
      <c r="D50" s="105" t="s">
        <v>767</v>
      </c>
      <c r="E50" s="105" t="s">
        <v>61</v>
      </c>
      <c r="F50" s="43" t="s">
        <v>768</v>
      </c>
      <c r="G50" s="106">
        <v>728</v>
      </c>
    </row>
    <row r="51" spans="1:7">
      <c r="A51" s="105" t="s">
        <v>765</v>
      </c>
      <c r="B51" s="105" t="s">
        <v>769</v>
      </c>
      <c r="C51" s="105" t="s">
        <v>770</v>
      </c>
      <c r="D51" s="105" t="s">
        <v>771</v>
      </c>
      <c r="E51" s="105" t="s">
        <v>61</v>
      </c>
      <c r="F51" s="43" t="s">
        <v>772</v>
      </c>
      <c r="G51" s="106">
        <v>300</v>
      </c>
    </row>
    <row r="52" spans="1:7">
      <c r="A52" s="105" t="s">
        <v>765</v>
      </c>
      <c r="B52" s="105" t="s">
        <v>628</v>
      </c>
      <c r="C52" s="105" t="s">
        <v>773</v>
      </c>
      <c r="D52" s="105" t="s">
        <v>774</v>
      </c>
      <c r="E52" s="105" t="s">
        <v>61</v>
      </c>
      <c r="F52" s="43" t="s">
        <v>775</v>
      </c>
      <c r="G52" s="106">
        <v>400</v>
      </c>
    </row>
    <row r="53" spans="1:7">
      <c r="A53" s="105" t="s">
        <v>776</v>
      </c>
      <c r="B53" s="105" t="s">
        <v>777</v>
      </c>
      <c r="C53" s="105" t="s">
        <v>778</v>
      </c>
      <c r="D53" s="105" t="s">
        <v>779</v>
      </c>
      <c r="E53" s="105" t="s">
        <v>60</v>
      </c>
      <c r="F53" s="43" t="s">
        <v>780</v>
      </c>
      <c r="G53" s="106">
        <v>80</v>
      </c>
    </row>
    <row r="54" spans="1:7">
      <c r="A54" s="105" t="s">
        <v>781</v>
      </c>
      <c r="B54" s="105" t="s">
        <v>704</v>
      </c>
      <c r="C54" s="105" t="s">
        <v>782</v>
      </c>
      <c r="D54" s="105" t="s">
        <v>783</v>
      </c>
      <c r="E54" s="105" t="s">
        <v>51</v>
      </c>
      <c r="F54" s="43" t="s">
        <v>784</v>
      </c>
      <c r="G54" s="106">
        <v>60</v>
      </c>
    </row>
    <row r="55" spans="1:7">
      <c r="A55" s="105" t="s">
        <v>781</v>
      </c>
      <c r="B55" s="105" t="s">
        <v>655</v>
      </c>
      <c r="C55" s="105" t="s">
        <v>785</v>
      </c>
      <c r="D55" s="105" t="s">
        <v>786</v>
      </c>
      <c r="E55" s="105" t="s">
        <v>51</v>
      </c>
      <c r="F55" s="43" t="s">
        <v>659</v>
      </c>
      <c r="G55" s="106">
        <v>96</v>
      </c>
    </row>
    <row r="56" spans="1:7">
      <c r="A56" s="105" t="s">
        <v>787</v>
      </c>
      <c r="B56" s="105" t="s">
        <v>616</v>
      </c>
      <c r="C56" s="131" t="s">
        <v>788</v>
      </c>
      <c r="D56" s="105" t="s">
        <v>789</v>
      </c>
      <c r="E56" s="105" t="s">
        <v>48</v>
      </c>
      <c r="F56" s="43" t="s">
        <v>649</v>
      </c>
      <c r="G56" s="106">
        <v>5040</v>
      </c>
    </row>
    <row r="57" spans="1:7">
      <c r="A57" s="105" t="s">
        <v>790</v>
      </c>
      <c r="B57" s="105" t="s">
        <v>632</v>
      </c>
      <c r="C57" s="105" t="s">
        <v>791</v>
      </c>
      <c r="D57" s="105" t="s">
        <v>792</v>
      </c>
      <c r="E57" s="105" t="s">
        <v>57</v>
      </c>
      <c r="F57" s="43" t="s">
        <v>635</v>
      </c>
      <c r="G57" s="106">
        <v>2480</v>
      </c>
    </row>
    <row r="58" spans="1:7">
      <c r="A58" s="105" t="s">
        <v>790</v>
      </c>
      <c r="B58" s="105" t="s">
        <v>650</v>
      </c>
      <c r="C58" s="105" t="s">
        <v>793</v>
      </c>
      <c r="D58" s="105" t="s">
        <v>794</v>
      </c>
      <c r="E58" s="105" t="s">
        <v>795</v>
      </c>
      <c r="F58" s="43" t="s">
        <v>796</v>
      </c>
      <c r="G58" s="106">
        <v>254.4</v>
      </c>
    </row>
    <row r="59" spans="1:7">
      <c r="A59" s="105" t="s">
        <v>790</v>
      </c>
      <c r="B59" s="105" t="s">
        <v>797</v>
      </c>
      <c r="C59" s="105" t="s">
        <v>798</v>
      </c>
      <c r="D59" s="105" t="s">
        <v>799</v>
      </c>
      <c r="E59" s="105" t="s">
        <v>800</v>
      </c>
      <c r="F59" s="43" t="s">
        <v>801</v>
      </c>
      <c r="G59" s="106">
        <v>128</v>
      </c>
    </row>
    <row r="60" spans="1:7">
      <c r="A60" s="105" t="s">
        <v>802</v>
      </c>
      <c r="B60" s="105" t="s">
        <v>632</v>
      </c>
      <c r="C60" s="105" t="s">
        <v>803</v>
      </c>
      <c r="D60" s="105" t="s">
        <v>804</v>
      </c>
      <c r="E60" s="105" t="s">
        <v>56</v>
      </c>
      <c r="F60" s="43" t="s">
        <v>635</v>
      </c>
      <c r="G60" s="106">
        <v>620</v>
      </c>
    </row>
    <row r="61" spans="1:7">
      <c r="A61" s="105" t="s">
        <v>805</v>
      </c>
      <c r="B61" s="105" t="s">
        <v>632</v>
      </c>
      <c r="C61" s="105" t="s">
        <v>806</v>
      </c>
      <c r="D61" s="105" t="s">
        <v>807</v>
      </c>
      <c r="E61" s="105" t="s">
        <v>55</v>
      </c>
      <c r="F61" s="43" t="s">
        <v>635</v>
      </c>
      <c r="G61" s="106">
        <v>620</v>
      </c>
    </row>
  </sheetData>
  <sortState ref="A2:G61">
    <sortCondition ref="C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G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83"/>
  <sheetViews>
    <sheetView workbookViewId="0">
      <selection activeCell="C168" sqref="C168"/>
    </sheetView>
  </sheetViews>
  <sheetFormatPr defaultColWidth="9" defaultRowHeight="13.5" outlineLevelCol="5"/>
  <cols>
    <col min="1" max="1" width="39.3333333333333" customWidth="1"/>
    <col min="2" max="2" width="16.3333333333333" customWidth="1"/>
    <col min="3" max="3" width="19.7833333333333" customWidth="1"/>
  </cols>
  <sheetData>
    <row r="1" ht="37" customHeight="1" spans="1:3">
      <c r="A1" s="60" t="s">
        <v>808</v>
      </c>
      <c r="B1" s="60"/>
      <c r="C1" s="60"/>
    </row>
    <row r="2" ht="38" customHeight="1" spans="1:3">
      <c r="A2" s="61" t="s">
        <v>809</v>
      </c>
      <c r="B2" s="62" t="s">
        <v>810</v>
      </c>
      <c r="C2" s="63" t="s">
        <v>811</v>
      </c>
    </row>
    <row r="3" ht="14.25" spans="1:3">
      <c r="A3" s="3" t="s">
        <v>34</v>
      </c>
      <c r="B3" s="64">
        <v>10</v>
      </c>
      <c r="C3" s="63">
        <v>7600</v>
      </c>
    </row>
    <row r="4" ht="14.25" hidden="1" spans="1:3">
      <c r="A4" s="4" t="s">
        <v>34</v>
      </c>
      <c r="B4" s="64">
        <v>20</v>
      </c>
      <c r="C4" s="65"/>
    </row>
    <row r="5" ht="14.25" spans="1:3">
      <c r="A5" s="3" t="s">
        <v>34</v>
      </c>
      <c r="B5" s="64">
        <v>17.5</v>
      </c>
      <c r="C5" s="63">
        <v>87.5</v>
      </c>
    </row>
    <row r="6" ht="14.25" hidden="1" spans="1:3">
      <c r="A6" s="4" t="s">
        <v>812</v>
      </c>
      <c r="B6" s="64">
        <v>17.5</v>
      </c>
      <c r="C6" s="66">
        <v>0</v>
      </c>
    </row>
    <row r="7" ht="14.25" hidden="1" spans="1:3">
      <c r="A7" s="4" t="s">
        <v>34</v>
      </c>
      <c r="B7" s="64">
        <v>12.5</v>
      </c>
      <c r="C7" s="66">
        <v>0</v>
      </c>
    </row>
    <row r="8" ht="14.25" hidden="1" spans="1:3">
      <c r="A8" s="4" t="s">
        <v>812</v>
      </c>
      <c r="B8" s="64">
        <v>12.5</v>
      </c>
      <c r="C8" s="66">
        <v>0</v>
      </c>
    </row>
    <row r="9" ht="14.25" hidden="1" spans="1:3">
      <c r="A9" s="4" t="s">
        <v>813</v>
      </c>
      <c r="B9" s="64">
        <v>4</v>
      </c>
      <c r="C9" s="66">
        <v>0</v>
      </c>
    </row>
    <row r="10" ht="14.25" hidden="1" spans="1:3">
      <c r="A10" s="4" t="s">
        <v>812</v>
      </c>
      <c r="B10" s="64">
        <v>10</v>
      </c>
      <c r="C10" s="66">
        <v>0</v>
      </c>
    </row>
    <row r="11" ht="14.25" hidden="1" spans="1:3">
      <c r="A11" s="4" t="s">
        <v>34</v>
      </c>
      <c r="B11" s="64">
        <v>10</v>
      </c>
      <c r="C11" s="66">
        <v>0</v>
      </c>
    </row>
    <row r="12" ht="14.25" spans="1:3">
      <c r="A12" s="3" t="s">
        <v>35</v>
      </c>
      <c r="B12" s="64" t="s">
        <v>814</v>
      </c>
      <c r="C12" s="63">
        <v>4680</v>
      </c>
    </row>
    <row r="13" ht="14.25" hidden="1" spans="1:3">
      <c r="A13" s="4" t="s">
        <v>35</v>
      </c>
      <c r="B13" s="64">
        <v>7.5</v>
      </c>
      <c r="C13" s="66">
        <v>0</v>
      </c>
    </row>
    <row r="14" ht="14.25" spans="1:3">
      <c r="A14" s="3" t="s">
        <v>35</v>
      </c>
      <c r="B14" s="64" t="s">
        <v>815</v>
      </c>
      <c r="C14" s="63">
        <v>432</v>
      </c>
    </row>
    <row r="15" ht="14.25" spans="1:3">
      <c r="A15" s="3" t="s">
        <v>35</v>
      </c>
      <c r="B15" s="64" t="s">
        <v>816</v>
      </c>
      <c r="C15" s="63">
        <v>11800</v>
      </c>
    </row>
    <row r="16" ht="14.25" spans="1:3">
      <c r="A16" s="3" t="s">
        <v>35</v>
      </c>
      <c r="B16" s="64">
        <v>0.1</v>
      </c>
      <c r="C16" s="63">
        <v>2624</v>
      </c>
    </row>
    <row r="17" ht="14.25" hidden="1" spans="1:6">
      <c r="A17" s="4" t="s">
        <v>36</v>
      </c>
      <c r="B17" s="64">
        <v>25</v>
      </c>
      <c r="C17" s="66">
        <v>0</v>
      </c>
    </row>
    <row r="18" ht="14.25" spans="1:6">
      <c r="A18" s="3" t="s">
        <v>36</v>
      </c>
      <c r="B18" s="64">
        <v>20</v>
      </c>
      <c r="C18" s="63">
        <v>2040</v>
      </c>
      <c r="D18" t="s">
        <v>817</v>
      </c>
      <c r="E18">
        <f>C18+C54+C61+C102+C124</f>
        <v>14680</v>
      </c>
      <c r="F18">
        <f>E18/20</f>
        <v>734</v>
      </c>
    </row>
    <row r="19" ht="14.25" spans="1:6">
      <c r="A19" s="3" t="s">
        <v>36</v>
      </c>
      <c r="B19" s="67">
        <v>0.1</v>
      </c>
      <c r="C19" s="63">
        <v>256</v>
      </c>
      <c r="E19">
        <f>C3+C38+C81+C82+C88</f>
        <v>15830</v>
      </c>
      <c r="F19">
        <f>E19/10</f>
        <v>1583</v>
      </c>
    </row>
    <row r="20" ht="14.25" hidden="1" spans="1:6">
      <c r="A20" s="4" t="s">
        <v>36</v>
      </c>
      <c r="B20" s="64">
        <v>15</v>
      </c>
      <c r="C20" s="66">
        <v>0</v>
      </c>
    </row>
    <row r="21" ht="14.25" hidden="1" spans="1:6">
      <c r="A21" s="4" t="s">
        <v>36</v>
      </c>
      <c r="B21" s="64" t="s">
        <v>815</v>
      </c>
      <c r="C21" s="66">
        <v>0</v>
      </c>
    </row>
    <row r="22" ht="14.25" hidden="1" spans="1:6">
      <c r="A22" s="4" t="s">
        <v>818</v>
      </c>
      <c r="B22" s="64" t="s">
        <v>819</v>
      </c>
      <c r="C22" s="66">
        <v>0</v>
      </c>
    </row>
    <row r="23" ht="14.25" hidden="1" spans="1:6">
      <c r="A23" s="4" t="s">
        <v>818</v>
      </c>
      <c r="B23" s="64" t="s">
        <v>820</v>
      </c>
      <c r="C23" s="66">
        <v>0</v>
      </c>
    </row>
    <row r="24" ht="14.25" hidden="1" spans="1:6">
      <c r="A24" s="4" t="s">
        <v>37</v>
      </c>
      <c r="B24" s="64" t="s">
        <v>821</v>
      </c>
      <c r="C24" s="66">
        <v>0</v>
      </c>
    </row>
    <row r="25" ht="14.25" hidden="1" spans="1:6">
      <c r="A25" s="4" t="s">
        <v>37</v>
      </c>
      <c r="B25" s="64" t="s">
        <v>822</v>
      </c>
      <c r="C25" s="66">
        <v>0</v>
      </c>
    </row>
    <row r="26" ht="14.25" hidden="1" spans="1:6">
      <c r="A26" s="4" t="s">
        <v>37</v>
      </c>
      <c r="B26" s="64" t="s">
        <v>823</v>
      </c>
      <c r="C26" s="66">
        <v>0</v>
      </c>
    </row>
    <row r="27" ht="14.25" hidden="1" spans="1:6">
      <c r="A27" s="4" t="s">
        <v>37</v>
      </c>
      <c r="B27" s="64" t="s">
        <v>824</v>
      </c>
      <c r="C27" s="66">
        <v>0</v>
      </c>
    </row>
    <row r="28" ht="14.25" hidden="1" spans="1:6">
      <c r="A28" s="4" t="s">
        <v>825</v>
      </c>
      <c r="B28" s="64">
        <v>10</v>
      </c>
      <c r="C28" s="66">
        <v>0</v>
      </c>
    </row>
    <row r="29" ht="14.25" hidden="1" spans="1:6">
      <c r="A29" s="4" t="s">
        <v>825</v>
      </c>
      <c r="B29" s="64">
        <v>3</v>
      </c>
      <c r="C29" s="66">
        <v>0</v>
      </c>
    </row>
    <row r="30" ht="14.25" hidden="1" spans="1:6">
      <c r="A30" s="4" t="s">
        <v>825</v>
      </c>
      <c r="B30" s="64" t="s">
        <v>826</v>
      </c>
      <c r="C30" s="66">
        <v>0</v>
      </c>
    </row>
    <row r="31" ht="14.25" hidden="1" spans="1:6">
      <c r="A31" s="68" t="s">
        <v>827</v>
      </c>
      <c r="B31" s="69" t="s">
        <v>828</v>
      </c>
      <c r="C31" s="66">
        <v>0</v>
      </c>
    </row>
    <row r="32" ht="14.25" hidden="1" spans="1:6">
      <c r="A32" s="68" t="s">
        <v>827</v>
      </c>
      <c r="B32" s="69" t="s">
        <v>829</v>
      </c>
      <c r="C32" s="66">
        <v>0</v>
      </c>
    </row>
    <row r="33" ht="14.25" hidden="1" spans="1:3">
      <c r="A33" s="68" t="s">
        <v>827</v>
      </c>
      <c r="B33" s="69" t="s">
        <v>830</v>
      </c>
      <c r="C33" s="66">
        <v>0</v>
      </c>
    </row>
    <row r="34" ht="15" customHeight="1" spans="1:3">
      <c r="A34" s="68" t="s">
        <v>37</v>
      </c>
      <c r="B34" s="69" t="s">
        <v>831</v>
      </c>
      <c r="C34" s="70">
        <v>240</v>
      </c>
    </row>
    <row r="35" ht="14.25" spans="1:3">
      <c r="A35" s="3" t="s">
        <v>39</v>
      </c>
      <c r="B35" s="69">
        <v>20</v>
      </c>
      <c r="C35" s="63">
        <v>2100</v>
      </c>
    </row>
    <row r="36" ht="14.25" spans="1:3">
      <c r="A36" s="3" t="s">
        <v>39</v>
      </c>
      <c r="B36" s="69" t="s">
        <v>832</v>
      </c>
      <c r="C36" s="63">
        <v>836</v>
      </c>
    </row>
    <row r="37" ht="14.25" hidden="1" spans="1:3">
      <c r="A37" s="68" t="s">
        <v>39</v>
      </c>
      <c r="B37" s="69" t="s">
        <v>833</v>
      </c>
      <c r="C37" s="66">
        <v>0</v>
      </c>
    </row>
    <row r="38" ht="14.25" spans="1:3">
      <c r="A38" s="3" t="s">
        <v>39</v>
      </c>
      <c r="B38" s="69">
        <v>10</v>
      </c>
      <c r="C38" s="63">
        <v>700</v>
      </c>
    </row>
    <row r="39" ht="14.25" spans="1:3">
      <c r="A39" s="3" t="s">
        <v>40</v>
      </c>
      <c r="B39" s="69">
        <v>0.12</v>
      </c>
      <c r="C39" s="63">
        <v>1344</v>
      </c>
    </row>
    <row r="40" ht="14.25" hidden="1" spans="1:3">
      <c r="A40" s="68" t="s">
        <v>40</v>
      </c>
      <c r="B40" s="69">
        <v>0.1</v>
      </c>
      <c r="C40" s="66">
        <v>0</v>
      </c>
    </row>
    <row r="41" ht="14.25" spans="1:3">
      <c r="A41" s="3" t="s">
        <v>40</v>
      </c>
      <c r="B41" s="69">
        <v>20</v>
      </c>
      <c r="C41" s="63">
        <v>200</v>
      </c>
    </row>
    <row r="42" ht="14.25" hidden="1" spans="1:3">
      <c r="A42" s="68" t="s">
        <v>834</v>
      </c>
      <c r="B42" s="69" t="s">
        <v>815</v>
      </c>
      <c r="C42" s="66">
        <v>0</v>
      </c>
    </row>
    <row r="43" ht="14.25" hidden="1" spans="1:3">
      <c r="A43" s="68" t="s">
        <v>834</v>
      </c>
      <c r="B43" s="69" t="s">
        <v>835</v>
      </c>
      <c r="C43" s="66">
        <v>0</v>
      </c>
    </row>
    <row r="44" ht="14.25" hidden="1" spans="1:3">
      <c r="A44" s="68" t="s">
        <v>834</v>
      </c>
      <c r="B44" s="69" t="s">
        <v>836</v>
      </c>
      <c r="C44" s="66">
        <v>0</v>
      </c>
    </row>
    <row r="45" ht="14.25" spans="1:3">
      <c r="A45" s="3" t="s">
        <v>41</v>
      </c>
      <c r="B45" s="69">
        <v>5</v>
      </c>
      <c r="C45" s="63">
        <v>200</v>
      </c>
    </row>
    <row r="46" ht="14.25" hidden="1" spans="1:3">
      <c r="A46" s="71" t="s">
        <v>41</v>
      </c>
      <c r="B46" s="72" t="s">
        <v>837</v>
      </c>
      <c r="C46" s="66">
        <v>0</v>
      </c>
    </row>
    <row r="47" ht="14.25" hidden="1" spans="1:3">
      <c r="A47" s="73" t="s">
        <v>838</v>
      </c>
      <c r="B47" s="72">
        <v>5</v>
      </c>
      <c r="C47" s="66">
        <v>0</v>
      </c>
    </row>
    <row r="48" ht="14.25" hidden="1" spans="1:3">
      <c r="A48" s="73" t="s">
        <v>838</v>
      </c>
      <c r="B48" s="72" t="s">
        <v>833</v>
      </c>
      <c r="C48" s="66">
        <v>0</v>
      </c>
    </row>
    <row r="49" ht="14.25" spans="1:3">
      <c r="A49" s="3" t="s">
        <v>42</v>
      </c>
      <c r="B49" s="69">
        <v>0.5</v>
      </c>
      <c r="C49" s="63">
        <v>1030</v>
      </c>
    </row>
    <row r="50" ht="14.25" spans="1:3">
      <c r="A50" s="3" t="s">
        <v>42</v>
      </c>
      <c r="B50" s="69">
        <v>20</v>
      </c>
      <c r="C50" s="63">
        <v>500</v>
      </c>
    </row>
    <row r="51" ht="14.25" hidden="1" spans="1:3">
      <c r="A51" s="68" t="s">
        <v>42</v>
      </c>
      <c r="B51" s="69" t="s">
        <v>815</v>
      </c>
      <c r="C51" s="66">
        <v>0</v>
      </c>
    </row>
    <row r="52" ht="14.25" hidden="1" spans="1:3">
      <c r="A52" s="71" t="s">
        <v>839</v>
      </c>
      <c r="B52" s="72" t="s">
        <v>837</v>
      </c>
      <c r="C52" s="66">
        <v>0</v>
      </c>
    </row>
    <row r="53" ht="17" customHeight="1" spans="1:3">
      <c r="A53" s="3" t="s">
        <v>42</v>
      </c>
      <c r="B53" s="64" t="s">
        <v>840</v>
      </c>
      <c r="C53" s="63">
        <v>1060</v>
      </c>
    </row>
    <row r="54" ht="14.25" spans="1:3">
      <c r="A54" s="3" t="s">
        <v>43</v>
      </c>
      <c r="B54" s="64">
        <v>20</v>
      </c>
      <c r="C54" s="63">
        <v>3540</v>
      </c>
    </row>
    <row r="55" ht="14.25" spans="1:3">
      <c r="A55" s="3" t="s">
        <v>729</v>
      </c>
      <c r="B55" s="64">
        <v>0.1</v>
      </c>
      <c r="C55" s="63">
        <v>1520</v>
      </c>
    </row>
    <row r="56" ht="14.25" spans="1:3">
      <c r="A56" s="3" t="s">
        <v>43</v>
      </c>
      <c r="B56" s="64">
        <v>16</v>
      </c>
      <c r="C56" s="63">
        <v>512</v>
      </c>
    </row>
    <row r="57" ht="14.25" hidden="1" spans="1:3">
      <c r="A57" s="4" t="s">
        <v>43</v>
      </c>
      <c r="B57" s="64" t="s">
        <v>75</v>
      </c>
      <c r="C57" s="66">
        <v>0</v>
      </c>
    </row>
    <row r="58" ht="14.25" spans="1:3">
      <c r="A58" s="3" t="s">
        <v>43</v>
      </c>
      <c r="B58" s="64" t="s">
        <v>815</v>
      </c>
      <c r="C58" s="63">
        <v>48</v>
      </c>
    </row>
    <row r="59" ht="14.25" spans="1:3">
      <c r="A59" s="3" t="s">
        <v>725</v>
      </c>
      <c r="B59" s="64" t="s">
        <v>841</v>
      </c>
      <c r="C59" s="63">
        <v>900</v>
      </c>
    </row>
    <row r="60" ht="14.25" hidden="1" spans="1:3">
      <c r="A60" s="4" t="s">
        <v>842</v>
      </c>
      <c r="B60" s="64">
        <v>0.38</v>
      </c>
      <c r="C60" s="66">
        <v>0</v>
      </c>
    </row>
    <row r="61" ht="17" customHeight="1" spans="1:3">
      <c r="A61" s="4" t="s">
        <v>44</v>
      </c>
      <c r="B61" s="64">
        <v>20</v>
      </c>
      <c r="C61" s="70">
        <v>500</v>
      </c>
    </row>
    <row r="62" ht="14.25" spans="1:3">
      <c r="A62" s="3" t="s">
        <v>45</v>
      </c>
      <c r="B62" s="64" t="s">
        <v>843</v>
      </c>
      <c r="C62" s="63">
        <v>250</v>
      </c>
    </row>
    <row r="63" ht="14.25" spans="1:3">
      <c r="A63" s="3" t="s">
        <v>752</v>
      </c>
      <c r="B63" s="64">
        <v>4</v>
      </c>
      <c r="C63" s="63">
        <v>1024</v>
      </c>
    </row>
    <row r="64" ht="14.25" hidden="1" spans="1:3">
      <c r="A64" s="3" t="s">
        <v>752</v>
      </c>
      <c r="B64" s="64">
        <v>20</v>
      </c>
      <c r="C64" s="66">
        <v>0</v>
      </c>
    </row>
    <row r="65" ht="14.25" hidden="1" spans="1:3">
      <c r="A65" s="3" t="s">
        <v>844</v>
      </c>
      <c r="B65" s="64" t="s">
        <v>845</v>
      </c>
      <c r="C65" s="66">
        <v>0</v>
      </c>
    </row>
    <row r="66" ht="14.25" spans="1:3">
      <c r="A66" s="3" t="s">
        <v>752</v>
      </c>
      <c r="B66" s="64">
        <v>0.3</v>
      </c>
      <c r="C66" s="63">
        <v>600</v>
      </c>
    </row>
    <row r="67" ht="14.25" hidden="1" spans="1:3">
      <c r="A67" s="74" t="s">
        <v>846</v>
      </c>
      <c r="B67" s="64" t="s">
        <v>847</v>
      </c>
      <c r="C67" s="66">
        <v>0</v>
      </c>
    </row>
    <row r="68" ht="14.25" hidden="1" spans="1:3">
      <c r="A68" s="74" t="s">
        <v>848</v>
      </c>
      <c r="B68" s="64" t="s">
        <v>824</v>
      </c>
      <c r="C68" s="66">
        <v>0</v>
      </c>
    </row>
    <row r="69" ht="14.25" spans="1:3">
      <c r="A69" s="5" t="s">
        <v>654</v>
      </c>
      <c r="B69" s="75" t="s">
        <v>829</v>
      </c>
      <c r="C69" s="32">
        <v>1640</v>
      </c>
    </row>
    <row r="70" ht="14.25" spans="1:3">
      <c r="A70" s="5" t="s">
        <v>846</v>
      </c>
      <c r="B70" s="75" t="s">
        <v>829</v>
      </c>
      <c r="C70" s="32">
        <v>160</v>
      </c>
    </row>
    <row r="71" ht="14.25" hidden="1" spans="1:3">
      <c r="A71" s="4" t="s">
        <v>849</v>
      </c>
      <c r="B71" s="64" t="s">
        <v>850</v>
      </c>
      <c r="C71" s="66">
        <v>0</v>
      </c>
    </row>
    <row r="72" ht="14.25" spans="1:3">
      <c r="A72" s="5" t="s">
        <v>668</v>
      </c>
      <c r="B72" s="75" t="s">
        <v>851</v>
      </c>
      <c r="C72" s="32">
        <v>1380</v>
      </c>
    </row>
    <row r="73" ht="14.25" spans="1:3">
      <c r="A73" s="5" t="s">
        <v>663</v>
      </c>
      <c r="B73" s="75">
        <v>0.25</v>
      </c>
      <c r="C73" s="32">
        <v>940</v>
      </c>
    </row>
    <row r="74" ht="14.25" hidden="1" spans="1:3">
      <c r="A74" s="4" t="s">
        <v>46</v>
      </c>
      <c r="B74" s="64" t="s">
        <v>843</v>
      </c>
      <c r="C74" s="66">
        <v>0</v>
      </c>
    </row>
    <row r="75" ht="14.25" spans="1:3">
      <c r="A75" s="5" t="s">
        <v>658</v>
      </c>
      <c r="B75" s="75">
        <v>0.2</v>
      </c>
      <c r="C75" s="32">
        <v>528</v>
      </c>
    </row>
    <row r="76" ht="14.25" spans="1:3">
      <c r="A76" s="5" t="s">
        <v>648</v>
      </c>
      <c r="B76" s="75" t="s">
        <v>814</v>
      </c>
      <c r="C76" s="32">
        <v>300</v>
      </c>
    </row>
    <row r="77" ht="14.25" hidden="1" spans="1:3">
      <c r="A77" s="4" t="s">
        <v>46</v>
      </c>
      <c r="B77" s="64" t="s">
        <v>845</v>
      </c>
      <c r="C77" s="66">
        <v>0</v>
      </c>
    </row>
    <row r="78" ht="14.25" spans="1:3">
      <c r="A78" s="5" t="s">
        <v>648</v>
      </c>
      <c r="B78" s="75" t="s">
        <v>852</v>
      </c>
      <c r="C78" s="32">
        <v>667.2</v>
      </c>
    </row>
    <row r="79" ht="14.25" hidden="1" spans="1:3">
      <c r="A79" s="4" t="s">
        <v>47</v>
      </c>
      <c r="B79" s="64" t="s">
        <v>853</v>
      </c>
      <c r="C79" s="66">
        <v>0</v>
      </c>
    </row>
    <row r="80" ht="14.25" hidden="1" spans="1:3">
      <c r="A80" s="4" t="s">
        <v>854</v>
      </c>
      <c r="B80" s="64" t="s">
        <v>855</v>
      </c>
      <c r="C80" s="66">
        <v>0</v>
      </c>
    </row>
    <row r="81" ht="14.25" spans="1:3">
      <c r="A81" s="3" t="s">
        <v>47</v>
      </c>
      <c r="B81" s="64">
        <v>10</v>
      </c>
      <c r="C81" s="76">
        <v>2040</v>
      </c>
    </row>
    <row r="82" ht="14.25" spans="1:3">
      <c r="A82" s="3" t="s">
        <v>856</v>
      </c>
      <c r="B82" s="64">
        <v>10</v>
      </c>
      <c r="C82" s="76">
        <v>3490</v>
      </c>
    </row>
    <row r="83" ht="14.25" spans="1:3">
      <c r="A83" s="3" t="s">
        <v>47</v>
      </c>
      <c r="B83" s="64" t="s">
        <v>822</v>
      </c>
      <c r="C83" s="63">
        <v>200</v>
      </c>
    </row>
    <row r="84" ht="14.25" hidden="1" spans="1:3">
      <c r="A84" s="4" t="s">
        <v>47</v>
      </c>
      <c r="B84" s="64" t="s">
        <v>845</v>
      </c>
      <c r="C84" s="66">
        <v>0</v>
      </c>
    </row>
    <row r="85" ht="14.25" hidden="1" spans="1:3">
      <c r="A85" s="4" t="s">
        <v>47</v>
      </c>
      <c r="B85" s="64">
        <v>0.03</v>
      </c>
      <c r="C85" s="66">
        <v>0</v>
      </c>
    </row>
    <row r="86" ht="14.25" hidden="1" spans="1:3">
      <c r="A86" s="4" t="s">
        <v>50</v>
      </c>
      <c r="B86" s="64">
        <v>0.2</v>
      </c>
      <c r="C86" s="66">
        <v>0</v>
      </c>
    </row>
    <row r="87" ht="14.25" hidden="1" spans="1:3">
      <c r="A87" s="4" t="s">
        <v>50</v>
      </c>
      <c r="B87" s="64">
        <v>0.1</v>
      </c>
      <c r="C87" s="66">
        <v>0</v>
      </c>
    </row>
    <row r="88" ht="14.25" spans="1:3">
      <c r="A88" s="3" t="s">
        <v>50</v>
      </c>
      <c r="B88" s="64">
        <v>10</v>
      </c>
      <c r="C88" s="63">
        <v>2000</v>
      </c>
    </row>
    <row r="89" ht="14.25" hidden="1" spans="1:3">
      <c r="A89" s="4" t="s">
        <v>857</v>
      </c>
      <c r="B89" s="64">
        <v>0.5</v>
      </c>
      <c r="C89" s="66">
        <v>0</v>
      </c>
    </row>
    <row r="90" ht="14.25" hidden="1" spans="1:3">
      <c r="A90" s="4" t="s">
        <v>51</v>
      </c>
      <c r="B90" s="64" t="s">
        <v>847</v>
      </c>
      <c r="C90" s="66">
        <v>0</v>
      </c>
    </row>
    <row r="91" ht="16" customHeight="1" spans="1:3">
      <c r="A91" s="3" t="s">
        <v>51</v>
      </c>
      <c r="B91" s="64" t="s">
        <v>858</v>
      </c>
      <c r="C91" s="63">
        <v>60</v>
      </c>
    </row>
    <row r="92" ht="14.25" hidden="1" spans="1:3">
      <c r="A92" s="4" t="s">
        <v>51</v>
      </c>
      <c r="B92" s="64" t="s">
        <v>816</v>
      </c>
      <c r="C92" s="66">
        <v>0</v>
      </c>
    </row>
    <row r="93" ht="14.25" hidden="1" spans="1:3">
      <c r="A93" s="4" t="s">
        <v>51</v>
      </c>
      <c r="B93" s="64" t="s">
        <v>859</v>
      </c>
      <c r="C93" s="66">
        <v>0</v>
      </c>
    </row>
    <row r="94" ht="14.25" hidden="1" spans="1:3">
      <c r="A94" s="71" t="s">
        <v>860</v>
      </c>
      <c r="B94" s="64" t="s">
        <v>847</v>
      </c>
      <c r="C94" s="66">
        <v>0</v>
      </c>
    </row>
    <row r="95" ht="14.25" hidden="1" spans="1:3">
      <c r="A95" s="71" t="s">
        <v>861</v>
      </c>
      <c r="B95" s="64" t="s">
        <v>847</v>
      </c>
      <c r="C95" s="66">
        <v>0</v>
      </c>
    </row>
    <row r="96" ht="14.25" hidden="1" spans="1:3">
      <c r="A96" s="71" t="s">
        <v>48</v>
      </c>
      <c r="B96" s="64" t="s">
        <v>814</v>
      </c>
      <c r="C96" s="66">
        <v>0</v>
      </c>
    </row>
    <row r="97" ht="14.25" hidden="1" spans="1:3">
      <c r="A97" s="68" t="s">
        <v>862</v>
      </c>
      <c r="B97" s="64" t="s">
        <v>863</v>
      </c>
      <c r="C97" s="66">
        <v>0</v>
      </c>
    </row>
    <row r="98" ht="14.25" hidden="1" spans="1:3">
      <c r="A98" s="68" t="s">
        <v>864</v>
      </c>
      <c r="B98" s="64" t="s">
        <v>815</v>
      </c>
      <c r="C98" s="66">
        <v>0</v>
      </c>
    </row>
    <row r="99" ht="14.25" hidden="1" spans="1:3">
      <c r="A99" s="4" t="s">
        <v>865</v>
      </c>
      <c r="B99" s="64" t="s">
        <v>866</v>
      </c>
      <c r="C99" s="66">
        <v>0</v>
      </c>
    </row>
    <row r="100" ht="16" customHeight="1" spans="1:3">
      <c r="A100" s="3" t="s">
        <v>51</v>
      </c>
      <c r="B100" s="64" t="s">
        <v>828</v>
      </c>
      <c r="C100" s="63">
        <v>96</v>
      </c>
    </row>
    <row r="101" ht="16" customHeight="1" spans="1:3">
      <c r="A101" s="4" t="s">
        <v>48</v>
      </c>
      <c r="B101" s="64" t="s">
        <v>867</v>
      </c>
      <c r="C101" s="63">
        <v>5040</v>
      </c>
    </row>
    <row r="102" ht="14.25" spans="1:3">
      <c r="A102" s="3" t="s">
        <v>49</v>
      </c>
      <c r="B102" s="64">
        <v>20</v>
      </c>
      <c r="C102" s="63">
        <v>5000</v>
      </c>
    </row>
    <row r="103" ht="14.25" hidden="1" spans="1:3">
      <c r="A103" s="4" t="s">
        <v>868</v>
      </c>
      <c r="B103" s="77">
        <v>20</v>
      </c>
      <c r="C103" s="66">
        <v>0</v>
      </c>
    </row>
    <row r="104" ht="14.25" hidden="1" spans="1:3">
      <c r="A104" s="4" t="s">
        <v>49</v>
      </c>
      <c r="B104" s="78" t="s">
        <v>833</v>
      </c>
      <c r="C104" s="66">
        <v>0</v>
      </c>
    </row>
    <row r="105" ht="14.25" hidden="1" spans="1:3">
      <c r="A105" s="4" t="s">
        <v>869</v>
      </c>
      <c r="B105" s="64">
        <v>1</v>
      </c>
      <c r="C105" s="66">
        <v>0</v>
      </c>
    </row>
    <row r="106" ht="14.25" hidden="1" spans="1:3">
      <c r="A106" s="4" t="s">
        <v>868</v>
      </c>
      <c r="B106" s="64">
        <v>0.35</v>
      </c>
      <c r="C106" s="66">
        <v>0</v>
      </c>
    </row>
    <row r="107" ht="14.25" hidden="1" spans="1:3">
      <c r="A107" s="4" t="s">
        <v>870</v>
      </c>
      <c r="B107" s="64">
        <v>0.2</v>
      </c>
      <c r="C107" s="66">
        <v>0</v>
      </c>
    </row>
    <row r="108" ht="14.25" spans="1:3">
      <c r="A108" s="3" t="s">
        <v>49</v>
      </c>
      <c r="B108" s="64">
        <v>0.5</v>
      </c>
      <c r="C108" s="63">
        <v>1500</v>
      </c>
    </row>
    <row r="109" ht="14.25" spans="1:3">
      <c r="A109" s="3" t="s">
        <v>49</v>
      </c>
      <c r="B109" s="64">
        <v>0.4</v>
      </c>
      <c r="C109" s="63">
        <v>2000</v>
      </c>
    </row>
    <row r="110" ht="14.25" hidden="1" spans="1:3">
      <c r="A110" s="4" t="s">
        <v>49</v>
      </c>
      <c r="B110" s="64">
        <v>0.45</v>
      </c>
      <c r="C110" s="66">
        <v>0</v>
      </c>
    </row>
    <row r="111" ht="14.25" spans="1:3">
      <c r="A111" s="3" t="s">
        <v>52</v>
      </c>
      <c r="B111" s="64" t="s">
        <v>871</v>
      </c>
      <c r="C111" s="63">
        <v>2160</v>
      </c>
    </row>
    <row r="112" ht="14.25" spans="1:3">
      <c r="A112" s="3" t="s">
        <v>52</v>
      </c>
      <c r="B112" s="64" t="s">
        <v>872</v>
      </c>
      <c r="C112" s="63">
        <v>1000</v>
      </c>
    </row>
    <row r="113" ht="14.25" spans="1:3">
      <c r="A113" s="3" t="s">
        <v>52</v>
      </c>
      <c r="B113" s="64">
        <v>0.5</v>
      </c>
      <c r="C113" s="63">
        <v>300</v>
      </c>
    </row>
    <row r="114" ht="14.25" hidden="1" spans="1:3">
      <c r="A114" s="4" t="s">
        <v>52</v>
      </c>
      <c r="B114" s="64">
        <v>20</v>
      </c>
      <c r="C114" s="66">
        <v>0</v>
      </c>
    </row>
    <row r="115" ht="14.25" hidden="1" spans="1:3">
      <c r="A115" s="4" t="s">
        <v>52</v>
      </c>
      <c r="B115" s="79" t="s">
        <v>873</v>
      </c>
      <c r="C115" s="66">
        <v>0</v>
      </c>
    </row>
    <row r="116" ht="14.25" hidden="1" spans="1:3">
      <c r="A116" s="4" t="s">
        <v>52</v>
      </c>
      <c r="B116" s="79" t="s">
        <v>874</v>
      </c>
      <c r="C116" s="66">
        <v>0</v>
      </c>
    </row>
    <row r="117" ht="14.25" hidden="1" spans="1:3">
      <c r="A117" s="4" t="s">
        <v>53</v>
      </c>
      <c r="B117" s="64">
        <v>0.4</v>
      </c>
      <c r="C117" s="66">
        <v>0</v>
      </c>
    </row>
    <row r="118" ht="14.25" hidden="1" spans="1:3">
      <c r="A118" s="4" t="s">
        <v>53</v>
      </c>
      <c r="B118" s="64">
        <v>0.3</v>
      </c>
      <c r="C118" s="66">
        <v>0</v>
      </c>
    </row>
    <row r="119" ht="14.25" hidden="1" spans="1:3">
      <c r="A119" s="4" t="s">
        <v>53</v>
      </c>
      <c r="B119" s="64">
        <v>0.1</v>
      </c>
      <c r="C119" s="66">
        <v>0</v>
      </c>
    </row>
    <row r="120" ht="14.25" spans="1:3">
      <c r="A120" s="3" t="s">
        <v>53</v>
      </c>
      <c r="B120" s="64">
        <v>0.2</v>
      </c>
      <c r="C120" s="63">
        <v>240</v>
      </c>
    </row>
    <row r="121" ht="14.25" hidden="1" spans="1:3">
      <c r="A121" s="4" t="s">
        <v>875</v>
      </c>
      <c r="B121" s="64" t="s">
        <v>876</v>
      </c>
      <c r="C121" s="66">
        <v>0</v>
      </c>
    </row>
    <row r="122" ht="14.25" hidden="1" spans="1:3">
      <c r="A122" s="4" t="s">
        <v>53</v>
      </c>
      <c r="B122" s="64">
        <v>0.25</v>
      </c>
      <c r="C122" s="66">
        <v>0</v>
      </c>
    </row>
    <row r="123" ht="16" customHeight="1" spans="1:3">
      <c r="A123" s="3" t="s">
        <v>53</v>
      </c>
      <c r="B123" s="64" t="s">
        <v>876</v>
      </c>
      <c r="C123" s="63">
        <v>48</v>
      </c>
    </row>
    <row r="124" ht="14.25" spans="1:3">
      <c r="A124" s="3" t="s">
        <v>54</v>
      </c>
      <c r="B124" s="64">
        <v>20</v>
      </c>
      <c r="C124" s="63">
        <v>3600</v>
      </c>
    </row>
    <row r="125" ht="14.25" hidden="1" spans="1:3">
      <c r="A125" s="68" t="s">
        <v>877</v>
      </c>
      <c r="B125" s="64">
        <v>20</v>
      </c>
      <c r="C125" s="66">
        <v>0</v>
      </c>
    </row>
    <row r="126" ht="14.25" hidden="1" spans="1:3">
      <c r="A126" s="68" t="s">
        <v>44</v>
      </c>
      <c r="B126" s="64">
        <v>20</v>
      </c>
      <c r="C126" s="66">
        <v>0</v>
      </c>
    </row>
    <row r="127" ht="27" customHeight="1" spans="1:3">
      <c r="A127" s="80" t="s">
        <v>878</v>
      </c>
      <c r="B127" s="81"/>
      <c r="C127" s="82">
        <f>SUBTOTAL(9,C3:C126)</f>
        <v>81012.7</v>
      </c>
    </row>
    <row r="128" ht="14.25" hidden="1" spans="1:3">
      <c r="A128" s="3" t="s">
        <v>879</v>
      </c>
      <c r="B128" s="64">
        <v>1000</v>
      </c>
      <c r="C128" s="66">
        <v>0</v>
      </c>
    </row>
    <row r="129" ht="14.25" hidden="1" spans="1:3">
      <c r="A129" s="3" t="s">
        <v>880</v>
      </c>
      <c r="B129" s="64">
        <v>30</v>
      </c>
      <c r="C129" s="66">
        <v>0</v>
      </c>
    </row>
    <row r="130" ht="14.25" spans="1:3">
      <c r="A130" s="83" t="s">
        <v>800</v>
      </c>
      <c r="B130" s="84" t="s">
        <v>881</v>
      </c>
      <c r="C130" s="63">
        <v>76.8</v>
      </c>
    </row>
    <row r="131" ht="14.25" spans="1:3">
      <c r="A131" s="3" t="s">
        <v>795</v>
      </c>
      <c r="B131" s="64" t="s">
        <v>831</v>
      </c>
      <c r="C131" s="63">
        <v>254.4</v>
      </c>
    </row>
    <row r="132" ht="14.25" hidden="1" spans="1:3">
      <c r="A132" s="85" t="s">
        <v>882</v>
      </c>
      <c r="B132" s="64">
        <v>20</v>
      </c>
      <c r="C132" s="66">
        <v>0</v>
      </c>
    </row>
    <row r="133" ht="14.25" hidden="1" spans="1:3">
      <c r="A133" s="85" t="s">
        <v>883</v>
      </c>
      <c r="B133" s="64">
        <v>20</v>
      </c>
      <c r="C133" s="66">
        <v>0</v>
      </c>
    </row>
    <row r="134" ht="14.25" hidden="1" spans="1:3">
      <c r="A134" s="85" t="s">
        <v>884</v>
      </c>
      <c r="B134" s="64">
        <v>30</v>
      </c>
      <c r="C134" s="66">
        <v>0</v>
      </c>
    </row>
    <row r="135" ht="14.25" spans="1:3">
      <c r="A135" s="3" t="s">
        <v>55</v>
      </c>
      <c r="B135" s="69">
        <v>20</v>
      </c>
      <c r="C135" s="63">
        <v>620</v>
      </c>
    </row>
    <row r="136" ht="14.25" hidden="1" spans="1:3">
      <c r="A136" s="85" t="s">
        <v>885</v>
      </c>
      <c r="B136" s="64">
        <v>30</v>
      </c>
      <c r="C136" s="66">
        <v>0</v>
      </c>
    </row>
    <row r="137" ht="14.25" hidden="1" spans="1:3">
      <c r="A137" s="85" t="s">
        <v>886</v>
      </c>
      <c r="B137" s="64">
        <v>30</v>
      </c>
      <c r="C137" s="66">
        <v>0</v>
      </c>
    </row>
    <row r="138" ht="14.25" hidden="1" spans="1:3">
      <c r="A138" s="85" t="s">
        <v>887</v>
      </c>
      <c r="B138" s="64">
        <v>20</v>
      </c>
      <c r="C138" s="66">
        <v>0</v>
      </c>
    </row>
    <row r="139" ht="14.25" hidden="1" spans="1:3">
      <c r="A139" s="86" t="s">
        <v>888</v>
      </c>
      <c r="B139" s="64">
        <v>30</v>
      </c>
      <c r="C139" s="66">
        <v>0</v>
      </c>
    </row>
    <row r="140" ht="14.25" hidden="1" spans="1:3">
      <c r="A140" s="86" t="s">
        <v>888</v>
      </c>
      <c r="B140" s="64">
        <v>20</v>
      </c>
      <c r="C140" s="66">
        <v>0</v>
      </c>
    </row>
    <row r="141" ht="14.25" hidden="1" spans="1:3">
      <c r="A141" s="85" t="s">
        <v>56</v>
      </c>
      <c r="B141" s="64">
        <v>25</v>
      </c>
      <c r="C141" s="66">
        <v>0</v>
      </c>
    </row>
    <row r="142" ht="14.25" hidden="1" spans="1:3">
      <c r="A142" s="85" t="s">
        <v>56</v>
      </c>
      <c r="B142" s="64">
        <v>30</v>
      </c>
      <c r="C142" s="66">
        <v>0</v>
      </c>
    </row>
    <row r="143" ht="14.25" spans="1:3">
      <c r="A143" s="3" t="s">
        <v>56</v>
      </c>
      <c r="B143" s="64">
        <v>20</v>
      </c>
      <c r="C143" s="63">
        <v>620</v>
      </c>
    </row>
    <row r="144" ht="14.25" hidden="1" spans="1:3">
      <c r="A144" s="85" t="s">
        <v>889</v>
      </c>
      <c r="B144" s="64">
        <v>20</v>
      </c>
      <c r="C144" s="66">
        <v>0</v>
      </c>
    </row>
    <row r="145" ht="14.25" hidden="1" spans="1:3">
      <c r="A145" s="85" t="s">
        <v>889</v>
      </c>
      <c r="B145" s="64">
        <v>25</v>
      </c>
      <c r="C145" s="66">
        <v>0</v>
      </c>
    </row>
    <row r="146" ht="14.25" hidden="1" spans="1:3">
      <c r="A146" s="85" t="s">
        <v>890</v>
      </c>
      <c r="B146" s="64">
        <v>20</v>
      </c>
      <c r="C146" s="66">
        <v>0</v>
      </c>
    </row>
    <row r="147" ht="14.25" hidden="1" spans="1:3">
      <c r="A147" s="85" t="s">
        <v>890</v>
      </c>
      <c r="B147" s="64">
        <v>30</v>
      </c>
      <c r="C147" s="66">
        <v>0</v>
      </c>
    </row>
    <row r="148" ht="14.25" hidden="1" spans="1:3">
      <c r="A148" s="87" t="s">
        <v>891</v>
      </c>
      <c r="B148" s="64">
        <v>25</v>
      </c>
      <c r="C148" s="66">
        <v>0</v>
      </c>
    </row>
    <row r="149" ht="14.25" hidden="1" spans="1:3">
      <c r="A149" s="87" t="s">
        <v>891</v>
      </c>
      <c r="B149" s="64">
        <v>20</v>
      </c>
      <c r="C149" s="66">
        <v>0</v>
      </c>
    </row>
    <row r="150" ht="14.25" hidden="1" spans="1:3">
      <c r="A150" s="85" t="s">
        <v>892</v>
      </c>
      <c r="B150" s="64">
        <v>20</v>
      </c>
      <c r="C150" s="66">
        <v>0</v>
      </c>
    </row>
    <row r="151" ht="14.25" hidden="1" spans="1:3">
      <c r="A151" s="88" t="s">
        <v>57</v>
      </c>
      <c r="B151" s="64">
        <v>30</v>
      </c>
      <c r="C151" s="66">
        <v>0</v>
      </c>
    </row>
    <row r="152" ht="14.25" hidden="1" spans="1:3">
      <c r="A152" s="88" t="s">
        <v>893</v>
      </c>
      <c r="B152" s="64">
        <v>20</v>
      </c>
      <c r="C152" s="66">
        <v>0</v>
      </c>
    </row>
    <row r="153" ht="14.25" spans="1:3">
      <c r="A153" s="3" t="s">
        <v>57</v>
      </c>
      <c r="B153" s="64">
        <v>20</v>
      </c>
      <c r="C153" s="63">
        <v>2480</v>
      </c>
    </row>
    <row r="154" ht="14.25" hidden="1" spans="1:3">
      <c r="A154" s="86" t="s">
        <v>894</v>
      </c>
      <c r="B154" s="64">
        <v>25</v>
      </c>
      <c r="C154" s="66">
        <v>0</v>
      </c>
    </row>
    <row r="155" ht="19" customHeight="1" spans="1:3">
      <c r="A155" s="89" t="s">
        <v>895</v>
      </c>
      <c r="B155" s="90"/>
      <c r="C155" s="82">
        <f>SUBTOTAL(9,C130:C154)</f>
        <v>4051.2</v>
      </c>
    </row>
    <row r="156" ht="26" customHeight="1" spans="1:3">
      <c r="A156" s="91" t="s">
        <v>896</v>
      </c>
      <c r="B156" s="92"/>
      <c r="C156" s="82">
        <f>C127+C155</f>
        <v>85063.9</v>
      </c>
    </row>
    <row r="157" ht="18.75" hidden="1" spans="1:3">
      <c r="A157" s="93" t="s">
        <v>897</v>
      </c>
      <c r="B157" s="94" t="s">
        <v>898</v>
      </c>
      <c r="C157" s="66"/>
    </row>
    <row r="158" ht="14.25" hidden="1" spans="1:3">
      <c r="A158" s="95" t="s">
        <v>58</v>
      </c>
      <c r="B158" s="69">
        <v>20</v>
      </c>
      <c r="C158" s="66">
        <v>0</v>
      </c>
    </row>
    <row r="159" ht="14.25" hidden="1" spans="1:3">
      <c r="A159" s="95" t="s">
        <v>58</v>
      </c>
      <c r="B159" s="69" t="s">
        <v>820</v>
      </c>
      <c r="C159" s="66">
        <v>0</v>
      </c>
    </row>
    <row r="160" ht="14.25" hidden="1" spans="1:3">
      <c r="A160" s="95" t="s">
        <v>58</v>
      </c>
      <c r="B160" s="69" t="s">
        <v>826</v>
      </c>
      <c r="C160" s="66">
        <v>0</v>
      </c>
    </row>
    <row r="161" ht="14.25" spans="1:3">
      <c r="A161" s="96" t="s">
        <v>58</v>
      </c>
      <c r="B161" s="69">
        <v>0.1</v>
      </c>
      <c r="C161" s="63">
        <v>800</v>
      </c>
    </row>
    <row r="162" ht="14.25" hidden="1" spans="1:3">
      <c r="A162" s="95" t="s">
        <v>58</v>
      </c>
      <c r="B162" s="69" t="s">
        <v>899</v>
      </c>
      <c r="C162" s="66">
        <v>0</v>
      </c>
    </row>
    <row r="163" ht="14.25" hidden="1" spans="1:3">
      <c r="A163" s="97" t="s">
        <v>900</v>
      </c>
      <c r="B163" s="69" t="s">
        <v>901</v>
      </c>
      <c r="C163" s="66">
        <v>0</v>
      </c>
    </row>
    <row r="164" ht="14.25" hidden="1" spans="1:3">
      <c r="A164" s="98" t="s">
        <v>900</v>
      </c>
      <c r="B164" s="69" t="s">
        <v>902</v>
      </c>
      <c r="C164" s="66">
        <v>0</v>
      </c>
    </row>
    <row r="165" ht="14.25" hidden="1" spans="1:3">
      <c r="A165" s="98" t="s">
        <v>900</v>
      </c>
      <c r="B165" s="69">
        <v>20</v>
      </c>
      <c r="C165" s="66">
        <v>0</v>
      </c>
    </row>
    <row r="166" ht="14.25" hidden="1" spans="1:3">
      <c r="A166" s="97" t="s">
        <v>900</v>
      </c>
      <c r="B166" s="69" t="s">
        <v>903</v>
      </c>
      <c r="C166" s="66">
        <v>0</v>
      </c>
    </row>
    <row r="167" ht="14.25" hidden="1" spans="1:3">
      <c r="A167" s="95" t="s">
        <v>59</v>
      </c>
      <c r="B167" s="69" t="s">
        <v>819</v>
      </c>
      <c r="C167" s="66">
        <v>0</v>
      </c>
    </row>
    <row r="168" ht="14.25" spans="1:3">
      <c r="A168" s="96" t="s">
        <v>59</v>
      </c>
      <c r="B168" s="69" t="s">
        <v>858</v>
      </c>
      <c r="C168" s="63">
        <v>8900</v>
      </c>
    </row>
    <row r="169" ht="14.25" hidden="1" spans="1:3">
      <c r="A169" s="95" t="s">
        <v>59</v>
      </c>
      <c r="B169" s="99" t="s">
        <v>904</v>
      </c>
      <c r="C169" s="66">
        <v>0</v>
      </c>
    </row>
    <row r="170" ht="14.25" hidden="1" spans="1:3">
      <c r="A170" s="95" t="s">
        <v>59</v>
      </c>
      <c r="B170" s="69" t="s">
        <v>905</v>
      </c>
      <c r="C170" s="66">
        <v>0</v>
      </c>
    </row>
    <row r="171" ht="14.25" hidden="1" spans="1:3">
      <c r="A171" s="95" t="s">
        <v>60</v>
      </c>
      <c r="B171" s="69" t="s">
        <v>824</v>
      </c>
      <c r="C171" s="66">
        <v>0</v>
      </c>
    </row>
    <row r="172" ht="14.25" hidden="1" spans="1:3">
      <c r="A172" s="95" t="s">
        <v>60</v>
      </c>
      <c r="B172" s="69" t="s">
        <v>858</v>
      </c>
      <c r="C172" s="66">
        <v>0</v>
      </c>
    </row>
    <row r="173" ht="14.25" spans="1:3">
      <c r="A173" s="96" t="s">
        <v>60</v>
      </c>
      <c r="B173" s="69" t="s">
        <v>902</v>
      </c>
      <c r="C173" s="63">
        <v>80</v>
      </c>
    </row>
    <row r="174" ht="14.25" hidden="1" spans="1:3">
      <c r="A174" s="95" t="s">
        <v>60</v>
      </c>
      <c r="B174" s="69" t="s">
        <v>899</v>
      </c>
      <c r="C174" s="66">
        <v>0</v>
      </c>
    </row>
    <row r="175" ht="14.25" hidden="1" spans="1:3">
      <c r="A175" s="95" t="s">
        <v>60</v>
      </c>
      <c r="B175" s="69" t="s">
        <v>820</v>
      </c>
      <c r="C175" s="66">
        <v>0</v>
      </c>
    </row>
    <row r="176" ht="14.25" hidden="1" spans="1:3">
      <c r="A176" s="100" t="s">
        <v>43</v>
      </c>
      <c r="B176" s="101" t="s">
        <v>906</v>
      </c>
      <c r="C176" s="66">
        <v>0</v>
      </c>
    </row>
    <row r="177" ht="14.25" hidden="1" spans="1:3">
      <c r="A177" s="100" t="s">
        <v>907</v>
      </c>
      <c r="B177" s="100" t="s">
        <v>908</v>
      </c>
      <c r="C177" s="66">
        <v>0</v>
      </c>
    </row>
    <row r="178" ht="14.25" hidden="1" spans="1:3">
      <c r="A178" s="100" t="s">
        <v>909</v>
      </c>
      <c r="B178" s="100" t="s">
        <v>910</v>
      </c>
      <c r="C178" s="66">
        <v>0</v>
      </c>
    </row>
    <row r="179" ht="14.25" spans="1:3">
      <c r="A179" s="102" t="s">
        <v>61</v>
      </c>
      <c r="B179" s="84" t="s">
        <v>911</v>
      </c>
      <c r="C179" s="63">
        <v>300</v>
      </c>
    </row>
    <row r="180" ht="14.25" spans="1:3">
      <c r="A180" s="102" t="s">
        <v>61</v>
      </c>
      <c r="B180" s="84" t="s">
        <v>815</v>
      </c>
      <c r="C180" s="63">
        <v>400</v>
      </c>
    </row>
    <row r="181" ht="14.25" hidden="1" spans="1:3">
      <c r="A181" s="100" t="s">
        <v>61</v>
      </c>
      <c r="B181" s="84" t="s">
        <v>858</v>
      </c>
      <c r="C181" s="66">
        <v>0</v>
      </c>
    </row>
    <row r="182" ht="14.25" spans="1:3">
      <c r="A182" s="102" t="s">
        <v>61</v>
      </c>
      <c r="B182" s="84" t="s">
        <v>829</v>
      </c>
      <c r="C182" s="63">
        <v>728</v>
      </c>
    </row>
    <row r="183" ht="23" customHeight="1" spans="1:3">
      <c r="A183" s="103" t="s">
        <v>912</v>
      </c>
      <c r="B183" s="104"/>
      <c r="C183" s="82">
        <f>SUBTOTAL(9,C161:C182)</f>
        <v>11208</v>
      </c>
    </row>
  </sheetData>
  <autoFilter xmlns:etc="http://www.wps.cn/officeDocument/2017/etCustomData" ref="C3:C182" etc:filterBottomFollowUsedRange="0">
    <filterColumn colId="0">
      <filters>
        <filter val="250"/>
        <filter val="3990"/>
        <filter val="312"/>
        <filter val="512"/>
        <filter val="256"/>
        <filter val="60"/>
        <filter val="560"/>
        <filter val="620"/>
        <filter val="1060"/>
        <filter val="1520"/>
        <filter val="2160"/>
        <filter val="11960"/>
        <filter val="667.2"/>
        <filter val="5191.2"/>
        <filter val="254.4"/>
        <filter val="87.5"/>
        <filter val="728"/>
        <filter val="928"/>
        <filter val="1428"/>
        <filter val="76.8"/>
        <filter val="1030"/>
        <filter val="432"/>
        <filter val="75"/>
        <filter val="836"/>
        <filter val="49911.7"/>
        <filter val="65711.7"/>
        <filter val="70902.9"/>
        <filter val="80"/>
        <filter val="200"/>
        <filter val="240"/>
        <filter val="300"/>
        <filter val="400"/>
        <filter val="480"/>
        <filter val="500"/>
        <filter val="600"/>
        <filter val="700"/>
        <filter val="800"/>
        <filter val="900"/>
        <filter val="940"/>
        <filter val="1000"/>
        <filter val="1240"/>
        <filter val="1300"/>
        <filter val="1380"/>
        <filter val="1500"/>
        <filter val="2000"/>
        <filter val="2040"/>
        <filter val="3000"/>
        <filter val="3540"/>
        <filter val="3600"/>
        <filter val="3840"/>
        <filter val="4680"/>
        <filter val="5000"/>
        <filter val="7700"/>
        <filter val="8580"/>
        <filter val="1344"/>
        <filter val="13304"/>
        <filter val="48"/>
        <filter val="10008"/>
      </filters>
    </filterColumn>
    <extLst/>
  </autoFilter>
  <mergeCells count="5">
    <mergeCell ref="A1:C1"/>
    <mergeCell ref="A127:B127"/>
    <mergeCell ref="A155:B155"/>
    <mergeCell ref="A156:B156"/>
    <mergeCell ref="A183:B183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L157"/>
  <sheetViews>
    <sheetView workbookViewId="0">
      <pane xSplit="1" ySplit="2" topLeftCell="B143" activePane="bottomRight" state="frozen"/>
      <selection/>
      <selection pane="topRight"/>
      <selection pane="bottomLeft"/>
      <selection pane="bottomRight" activeCell="AL147" sqref="AL147"/>
    </sheetView>
  </sheetViews>
  <sheetFormatPr defaultColWidth="9" defaultRowHeight="13.5"/>
  <cols>
    <col min="1" max="1" width="30.8916666666667" style="1" customWidth="1"/>
    <col min="2" max="21" width="7.775" style="1" customWidth="1" outlineLevel="1"/>
    <col min="22" max="22" width="7.775" style="1" customWidth="1"/>
    <col min="23" max="28" width="7.55833333333333" style="1" customWidth="1"/>
    <col min="29" max="29" width="4.44166666666667" style="1" customWidth="1" outlineLevel="1"/>
    <col min="30" max="37" width="7.55833333333333" style="1" customWidth="1" outlineLevel="1"/>
    <col min="38" max="38" width="10.6666666666667" style="1" customWidth="1"/>
    <col min="39" max="16384" width="9" style="1"/>
  </cols>
  <sheetData>
    <row r="1" ht="67" customHeight="1" spans="1:38">
      <c r="A1" s="2" t="s">
        <v>33</v>
      </c>
      <c r="B1" s="3" t="s">
        <v>34</v>
      </c>
      <c r="C1" s="3" t="s">
        <v>35</v>
      </c>
      <c r="D1" s="3" t="s">
        <v>36</v>
      </c>
      <c r="E1" s="4" t="s">
        <v>37</v>
      </c>
      <c r="F1" s="3" t="s">
        <v>39</v>
      </c>
      <c r="G1" s="3" t="s">
        <v>40</v>
      </c>
      <c r="H1" s="4" t="s">
        <v>41</v>
      </c>
      <c r="I1" s="4" t="s">
        <v>42</v>
      </c>
      <c r="J1" s="3" t="s">
        <v>43</v>
      </c>
      <c r="K1" s="4" t="s">
        <v>44</v>
      </c>
      <c r="L1" s="3" t="s">
        <v>45</v>
      </c>
      <c r="M1" s="5" t="s">
        <v>46</v>
      </c>
      <c r="N1" s="3" t="s">
        <v>47</v>
      </c>
      <c r="O1" s="4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6" t="s">
        <v>55</v>
      </c>
      <c r="W1" s="6" t="s">
        <v>56</v>
      </c>
      <c r="X1" s="6" t="s">
        <v>57</v>
      </c>
      <c r="Y1" s="7" t="s">
        <v>58</v>
      </c>
      <c r="Z1" s="7" t="s">
        <v>59</v>
      </c>
      <c r="AA1" s="7" t="s">
        <v>60</v>
      </c>
      <c r="AB1" s="8" t="s">
        <v>61</v>
      </c>
      <c r="AC1" s="9" t="s">
        <v>913</v>
      </c>
      <c r="AD1" s="3" t="s">
        <v>34</v>
      </c>
      <c r="AE1" s="4" t="s">
        <v>37</v>
      </c>
      <c r="AF1" s="10" t="s">
        <v>914</v>
      </c>
      <c r="AG1" s="3" t="s">
        <v>53</v>
      </c>
      <c r="AH1" s="4" t="s">
        <v>48</v>
      </c>
      <c r="AI1" s="8" t="s">
        <v>61</v>
      </c>
      <c r="AJ1" s="7" t="s">
        <v>59</v>
      </c>
      <c r="AK1" s="3" t="s">
        <v>915</v>
      </c>
      <c r="AL1" s="11" t="s">
        <v>70</v>
      </c>
    </row>
    <row r="2" ht="21" customHeight="1" spans="1:38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  <c r="T2" s="14"/>
      <c r="U2" s="14"/>
      <c r="V2" s="15"/>
      <c r="W2" s="15"/>
      <c r="X2" s="15"/>
      <c r="Y2" s="14"/>
      <c r="Z2" s="14"/>
      <c r="AA2" s="14"/>
      <c r="AB2" s="14"/>
      <c r="AC2" s="16"/>
      <c r="AD2" s="14" t="s">
        <v>71</v>
      </c>
      <c r="AE2" s="14" t="s">
        <v>72</v>
      </c>
      <c r="AF2" s="17" t="s">
        <v>73</v>
      </c>
      <c r="AG2" s="14" t="s">
        <v>74</v>
      </c>
      <c r="AH2" s="14" t="s">
        <v>916</v>
      </c>
      <c r="AI2" s="14" t="s">
        <v>76</v>
      </c>
      <c r="AJ2" s="14" t="s">
        <v>77</v>
      </c>
      <c r="AK2" s="14" t="s">
        <v>78</v>
      </c>
      <c r="AL2" s="18"/>
    </row>
    <row r="3" ht="19" customHeight="1" spans="1:38">
      <c r="A3" s="19" t="s">
        <v>917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>
        <v>117</v>
      </c>
      <c r="AG3" s="14"/>
      <c r="AH3" s="14"/>
      <c r="AI3" s="14"/>
      <c r="AJ3" s="14"/>
      <c r="AK3" s="14"/>
      <c r="AL3" s="13">
        <f t="shared" ref="AL3:AL66" si="0">SUM(B3:AK3)</f>
        <v>117</v>
      </c>
    </row>
    <row r="4" ht="14.25" spans="1:38">
      <c r="A4" s="20" t="s">
        <v>89</v>
      </c>
      <c r="B4" s="13"/>
      <c r="C4" s="13"/>
      <c r="D4" s="13"/>
      <c r="E4" s="13"/>
      <c r="F4" s="13"/>
      <c r="G4" s="13"/>
      <c r="H4" s="13"/>
      <c r="I4" s="13">
        <v>62</v>
      </c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3">
        <f t="shared" si="0"/>
        <v>62</v>
      </c>
    </row>
    <row r="5" ht="14.25" spans="1:38">
      <c r="A5" s="20" t="s">
        <v>918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3">
        <f t="shared" si="0"/>
        <v>0</v>
      </c>
    </row>
    <row r="6" ht="14.25" spans="1:38">
      <c r="A6" s="19" t="s">
        <v>86</v>
      </c>
      <c r="B6" s="21"/>
      <c r="C6" s="21"/>
      <c r="D6" s="21"/>
      <c r="E6" s="21">
        <v>197.6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>
        <v>372.4</v>
      </c>
      <c r="AF6" s="14"/>
      <c r="AG6" s="14"/>
      <c r="AH6" s="14"/>
      <c r="AI6" s="14"/>
      <c r="AJ6" s="14"/>
      <c r="AK6" s="14"/>
      <c r="AL6" s="13">
        <f t="shared" si="0"/>
        <v>570</v>
      </c>
    </row>
    <row r="7" ht="14.25" spans="1:38">
      <c r="A7" s="22" t="s">
        <v>80</v>
      </c>
      <c r="B7" s="13"/>
      <c r="C7" s="13"/>
      <c r="D7" s="13"/>
      <c r="E7" s="13"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879</v>
      </c>
      <c r="Q7" s="14"/>
      <c r="R7" s="14"/>
      <c r="S7" s="14"/>
      <c r="T7" s="14">
        <v>39</v>
      </c>
      <c r="U7" s="14">
        <v>648</v>
      </c>
      <c r="V7" s="14"/>
      <c r="W7" s="14"/>
      <c r="X7" s="14"/>
      <c r="Y7" s="14"/>
      <c r="Z7" s="14">
        <v>340</v>
      </c>
      <c r="AA7" s="14"/>
      <c r="AB7" s="14"/>
      <c r="AC7" s="14"/>
      <c r="AD7" s="14"/>
      <c r="AE7" s="14">
        <v>0</v>
      </c>
      <c r="AF7" s="14"/>
      <c r="AG7" s="14">
        <v>221</v>
      </c>
      <c r="AH7" s="14"/>
      <c r="AI7" s="14"/>
      <c r="AJ7" s="14">
        <v>100</v>
      </c>
      <c r="AK7" s="14">
        <v>192</v>
      </c>
      <c r="AL7" s="13">
        <f t="shared" si="0"/>
        <v>2419</v>
      </c>
    </row>
    <row r="8" ht="14.25" spans="1:38">
      <c r="A8" s="22" t="s">
        <v>82</v>
      </c>
      <c r="B8" s="13"/>
      <c r="C8" s="13"/>
      <c r="D8" s="13"/>
      <c r="E8" s="13"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377</v>
      </c>
      <c r="Q8" s="14"/>
      <c r="R8" s="14"/>
      <c r="S8" s="14"/>
      <c r="T8" s="14">
        <v>19.8</v>
      </c>
      <c r="U8" s="14">
        <v>324</v>
      </c>
      <c r="V8" s="14"/>
      <c r="W8" s="14"/>
      <c r="X8" s="14"/>
      <c r="Y8" s="14"/>
      <c r="Z8" s="14">
        <v>0</v>
      </c>
      <c r="AA8" s="14"/>
      <c r="AB8" s="14"/>
      <c r="AC8" s="14"/>
      <c r="AD8" s="14"/>
      <c r="AE8" s="14">
        <v>0</v>
      </c>
      <c r="AF8" s="14"/>
      <c r="AG8" s="14">
        <v>112.2</v>
      </c>
      <c r="AH8" s="14"/>
      <c r="AI8" s="14"/>
      <c r="AJ8" s="14">
        <v>0</v>
      </c>
      <c r="AK8" s="14">
        <v>0</v>
      </c>
      <c r="AL8" s="13">
        <f t="shared" si="0"/>
        <v>833</v>
      </c>
    </row>
    <row r="9" ht="14.25" spans="1:38">
      <c r="A9" s="23" t="s">
        <v>84</v>
      </c>
      <c r="B9" s="21"/>
      <c r="C9" s="21">
        <v>4950</v>
      </c>
      <c r="D9" s="21"/>
      <c r="E9" s="21"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13">
        <v>0</v>
      </c>
      <c r="Q9" s="14"/>
      <c r="R9" s="14"/>
      <c r="S9" s="14"/>
      <c r="T9" s="14">
        <v>0</v>
      </c>
      <c r="U9" s="14">
        <v>0</v>
      </c>
      <c r="V9" s="14"/>
      <c r="W9" s="14"/>
      <c r="X9" s="14"/>
      <c r="Y9" s="14"/>
      <c r="Z9" s="14">
        <v>0</v>
      </c>
      <c r="AA9" s="14"/>
      <c r="AB9" s="14">
        <v>590</v>
      </c>
      <c r="AC9" s="14"/>
      <c r="AD9" s="14"/>
      <c r="AE9" s="14">
        <v>0</v>
      </c>
      <c r="AF9" s="14"/>
      <c r="AG9" s="14">
        <v>0</v>
      </c>
      <c r="AH9" s="14"/>
      <c r="AI9" s="14">
        <v>115</v>
      </c>
      <c r="AJ9" s="14">
        <v>0</v>
      </c>
      <c r="AK9" s="14">
        <v>0</v>
      </c>
      <c r="AL9" s="13">
        <f t="shared" si="0"/>
        <v>5655</v>
      </c>
    </row>
    <row r="10" ht="14.25" spans="1:38">
      <c r="A10" s="22" t="s">
        <v>91</v>
      </c>
      <c r="B10" s="24"/>
      <c r="C10" s="24">
        <v>0</v>
      </c>
      <c r="D10" s="24"/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3">
        <v>0</v>
      </c>
      <c r="Q10" s="14"/>
      <c r="R10" s="14"/>
      <c r="S10" s="14"/>
      <c r="T10" s="14">
        <v>0</v>
      </c>
      <c r="U10" s="14">
        <v>0</v>
      </c>
      <c r="V10" s="14"/>
      <c r="W10" s="14"/>
      <c r="X10" s="14"/>
      <c r="Y10" s="14">
        <v>300</v>
      </c>
      <c r="Z10" s="14">
        <v>0</v>
      </c>
      <c r="AA10" s="14"/>
      <c r="AB10" s="14">
        <v>0</v>
      </c>
      <c r="AC10" s="14"/>
      <c r="AD10" s="14"/>
      <c r="AE10" s="14">
        <v>0</v>
      </c>
      <c r="AF10" s="14"/>
      <c r="AG10" s="14">
        <v>0</v>
      </c>
      <c r="AH10" s="14"/>
      <c r="AI10" s="14">
        <v>0</v>
      </c>
      <c r="AJ10" s="14">
        <v>0</v>
      </c>
      <c r="AK10" s="14">
        <v>162</v>
      </c>
      <c r="AL10" s="25">
        <f t="shared" si="0"/>
        <v>462</v>
      </c>
    </row>
    <row r="11" ht="14.25" spans="1:38">
      <c r="A11" s="22" t="s">
        <v>93</v>
      </c>
      <c r="B11" s="24"/>
      <c r="C11" s="24">
        <v>0</v>
      </c>
      <c r="D11" s="24"/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13">
        <v>0</v>
      </c>
      <c r="Q11" s="14"/>
      <c r="R11" s="14"/>
      <c r="S11" s="14"/>
      <c r="T11" s="14">
        <v>0</v>
      </c>
      <c r="U11" s="14">
        <v>0</v>
      </c>
      <c r="V11" s="14"/>
      <c r="W11" s="14"/>
      <c r="X11" s="14"/>
      <c r="Y11" s="14">
        <v>0</v>
      </c>
      <c r="Z11" s="14">
        <v>0</v>
      </c>
      <c r="AA11" s="14"/>
      <c r="AB11" s="14">
        <v>0</v>
      </c>
      <c r="AC11" s="14"/>
      <c r="AD11" s="14"/>
      <c r="AE11" s="14">
        <v>0</v>
      </c>
      <c r="AF11" s="14"/>
      <c r="AG11" s="14">
        <v>0</v>
      </c>
      <c r="AH11" s="14"/>
      <c r="AI11" s="14">
        <v>0</v>
      </c>
      <c r="AJ11" s="14">
        <v>0</v>
      </c>
      <c r="AK11" s="14">
        <v>206</v>
      </c>
      <c r="AL11" s="25">
        <f t="shared" si="0"/>
        <v>206</v>
      </c>
    </row>
    <row r="12" ht="14.25" spans="1:38">
      <c r="A12" s="22" t="s">
        <v>95</v>
      </c>
      <c r="B12" s="24">
        <v>502.5</v>
      </c>
      <c r="C12" s="24">
        <v>0</v>
      </c>
      <c r="D12" s="24"/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13">
        <v>0</v>
      </c>
      <c r="Q12" s="14"/>
      <c r="R12" s="14"/>
      <c r="S12" s="14"/>
      <c r="T12" s="14">
        <v>0</v>
      </c>
      <c r="U12" s="14">
        <v>0</v>
      </c>
      <c r="V12" s="14"/>
      <c r="W12" s="14"/>
      <c r="X12" s="14"/>
      <c r="Y12" s="14">
        <v>0</v>
      </c>
      <c r="Z12" s="14">
        <v>145.8</v>
      </c>
      <c r="AA12" s="14"/>
      <c r="AB12" s="14">
        <v>0</v>
      </c>
      <c r="AC12" s="14"/>
      <c r="AD12" s="14">
        <v>167.5</v>
      </c>
      <c r="AE12" s="14">
        <v>0</v>
      </c>
      <c r="AF12" s="14"/>
      <c r="AG12" s="14">
        <v>0</v>
      </c>
      <c r="AH12" s="14"/>
      <c r="AI12" s="14">
        <v>0</v>
      </c>
      <c r="AJ12" s="14">
        <v>36.5</v>
      </c>
      <c r="AK12" s="14">
        <v>0</v>
      </c>
      <c r="AL12" s="13">
        <f t="shared" si="0"/>
        <v>852.3</v>
      </c>
    </row>
    <row r="13" ht="14.25" spans="1:38">
      <c r="A13" s="22" t="s">
        <v>919</v>
      </c>
      <c r="B13" s="24">
        <v>0</v>
      </c>
      <c r="C13" s="24">
        <v>0</v>
      </c>
      <c r="D13" s="24"/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13">
        <v>0</v>
      </c>
      <c r="Q13" s="14"/>
      <c r="R13" s="14"/>
      <c r="S13" s="14"/>
      <c r="T13" s="14">
        <v>0</v>
      </c>
      <c r="U13" s="14">
        <v>0</v>
      </c>
      <c r="V13" s="14"/>
      <c r="W13" s="14"/>
      <c r="X13" s="14"/>
      <c r="Y13" s="14">
        <v>0</v>
      </c>
      <c r="Z13" s="14">
        <v>0</v>
      </c>
      <c r="AA13" s="14"/>
      <c r="AB13" s="14">
        <v>0</v>
      </c>
      <c r="AC13" s="14"/>
      <c r="AD13" s="14">
        <v>0</v>
      </c>
      <c r="AE13" s="14">
        <v>0</v>
      </c>
      <c r="AF13" s="14"/>
      <c r="AG13" s="14">
        <v>0</v>
      </c>
      <c r="AH13" s="14"/>
      <c r="AI13" s="14">
        <v>0</v>
      </c>
      <c r="AJ13" s="14">
        <v>0</v>
      </c>
      <c r="AK13" s="14">
        <v>0</v>
      </c>
      <c r="AL13" s="13">
        <f t="shared" si="0"/>
        <v>0</v>
      </c>
    </row>
    <row r="14" ht="14.25" spans="1:38">
      <c r="A14" s="26" t="s">
        <v>920</v>
      </c>
      <c r="B14" s="24">
        <v>0</v>
      </c>
      <c r="C14" s="24">
        <v>0</v>
      </c>
      <c r="D14" s="24"/>
      <c r="E14" s="24">
        <v>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3">
        <v>0</v>
      </c>
      <c r="Q14" s="14"/>
      <c r="R14" s="14"/>
      <c r="S14" s="14"/>
      <c r="T14" s="14">
        <v>0</v>
      </c>
      <c r="U14" s="14">
        <v>0</v>
      </c>
      <c r="V14" s="14"/>
      <c r="W14" s="14"/>
      <c r="X14" s="14"/>
      <c r="Y14" s="14">
        <v>0</v>
      </c>
      <c r="Z14" s="14">
        <v>0</v>
      </c>
      <c r="AA14" s="14"/>
      <c r="AB14" s="14">
        <v>0</v>
      </c>
      <c r="AC14" s="14"/>
      <c r="AD14" s="14">
        <v>0</v>
      </c>
      <c r="AE14" s="14">
        <v>0</v>
      </c>
      <c r="AF14" s="14"/>
      <c r="AG14" s="14">
        <v>0</v>
      </c>
      <c r="AH14" s="14"/>
      <c r="AI14" s="14">
        <v>0</v>
      </c>
      <c r="AJ14" s="14">
        <v>0</v>
      </c>
      <c r="AK14" s="14">
        <v>0</v>
      </c>
      <c r="AL14" s="13">
        <f t="shared" si="0"/>
        <v>0</v>
      </c>
    </row>
    <row r="15" ht="14.25" spans="1:38">
      <c r="A15" s="26" t="s">
        <v>103</v>
      </c>
      <c r="B15" s="24">
        <v>0</v>
      </c>
      <c r="C15" s="24">
        <v>0</v>
      </c>
      <c r="D15" s="24"/>
      <c r="E15" s="24">
        <v>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>
        <v>0</v>
      </c>
      <c r="Q15" s="14"/>
      <c r="R15" s="14"/>
      <c r="S15" s="14"/>
      <c r="T15" s="14">
        <v>0</v>
      </c>
      <c r="U15" s="14">
        <v>0</v>
      </c>
      <c r="V15" s="14"/>
      <c r="W15" s="14"/>
      <c r="X15" s="14"/>
      <c r="Y15" s="14">
        <v>0</v>
      </c>
      <c r="Z15" s="14">
        <v>0</v>
      </c>
      <c r="AA15" s="14"/>
      <c r="AB15" s="14">
        <v>0</v>
      </c>
      <c r="AC15" s="14"/>
      <c r="AD15" s="14">
        <v>0</v>
      </c>
      <c r="AE15" s="14">
        <v>0</v>
      </c>
      <c r="AF15" s="14">
        <v>118</v>
      </c>
      <c r="AG15" s="14">
        <v>0</v>
      </c>
      <c r="AH15" s="14"/>
      <c r="AI15" s="14">
        <v>0</v>
      </c>
      <c r="AJ15" s="14">
        <v>0</v>
      </c>
      <c r="AK15" s="14">
        <v>0</v>
      </c>
      <c r="AL15" s="25">
        <f t="shared" si="0"/>
        <v>118</v>
      </c>
    </row>
    <row r="16" ht="14.25" spans="1:38">
      <c r="A16" s="27" t="s">
        <v>921</v>
      </c>
      <c r="B16" s="24">
        <v>0</v>
      </c>
      <c r="C16" s="24">
        <v>0</v>
      </c>
      <c r="D16" s="24"/>
      <c r="E16" s="24">
        <v>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13">
        <v>0</v>
      </c>
      <c r="Q16" s="14"/>
      <c r="R16" s="14"/>
      <c r="S16" s="14"/>
      <c r="T16" s="14">
        <v>0</v>
      </c>
      <c r="U16" s="14">
        <v>0</v>
      </c>
      <c r="V16" s="14"/>
      <c r="W16" s="14"/>
      <c r="X16" s="14"/>
      <c r="Y16" s="14">
        <v>0</v>
      </c>
      <c r="Z16" s="14">
        <v>0</v>
      </c>
      <c r="AA16" s="14"/>
      <c r="AB16" s="14">
        <v>0</v>
      </c>
      <c r="AC16" s="14"/>
      <c r="AD16" s="14">
        <v>0</v>
      </c>
      <c r="AE16" s="14">
        <v>0</v>
      </c>
      <c r="AF16" s="14"/>
      <c r="AG16" s="14">
        <v>0</v>
      </c>
      <c r="AH16" s="14"/>
      <c r="AI16" s="14">
        <v>0</v>
      </c>
      <c r="AJ16" s="14">
        <v>0</v>
      </c>
      <c r="AK16" s="14">
        <v>0</v>
      </c>
      <c r="AL16" s="13">
        <f t="shared" si="0"/>
        <v>0</v>
      </c>
    </row>
    <row r="17" ht="14.25" spans="1:38">
      <c r="A17" s="22" t="s">
        <v>97</v>
      </c>
      <c r="B17" s="24">
        <v>0</v>
      </c>
      <c r="C17" s="24">
        <v>0</v>
      </c>
      <c r="D17" s="24"/>
      <c r="E17" s="24">
        <v>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13">
        <v>0</v>
      </c>
      <c r="Q17" s="14"/>
      <c r="R17" s="14"/>
      <c r="S17" s="14"/>
      <c r="T17" s="14">
        <v>23.4</v>
      </c>
      <c r="U17" s="14">
        <v>274</v>
      </c>
      <c r="V17" s="14"/>
      <c r="W17" s="14"/>
      <c r="X17" s="14"/>
      <c r="Y17" s="14">
        <v>0</v>
      </c>
      <c r="Z17" s="14">
        <v>0</v>
      </c>
      <c r="AA17" s="14"/>
      <c r="AB17" s="14">
        <v>0</v>
      </c>
      <c r="AC17" s="14"/>
      <c r="AD17" s="14">
        <v>0</v>
      </c>
      <c r="AE17" s="14">
        <v>0</v>
      </c>
      <c r="AF17" s="14"/>
      <c r="AG17" s="14">
        <v>152.6</v>
      </c>
      <c r="AH17" s="14"/>
      <c r="AI17" s="14">
        <v>0</v>
      </c>
      <c r="AJ17" s="14">
        <v>0</v>
      </c>
      <c r="AK17" s="14">
        <v>0</v>
      </c>
      <c r="AL17" s="13">
        <f t="shared" si="0"/>
        <v>450</v>
      </c>
    </row>
    <row r="18" ht="14.25" spans="1:38">
      <c r="A18" s="22" t="s">
        <v>922</v>
      </c>
      <c r="B18" s="24">
        <v>0</v>
      </c>
      <c r="C18" s="24">
        <v>0</v>
      </c>
      <c r="D18" s="24"/>
      <c r="E18" s="24">
        <v>0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13">
        <v>0</v>
      </c>
      <c r="Q18" s="14"/>
      <c r="R18" s="14"/>
      <c r="S18" s="14"/>
      <c r="T18" s="14">
        <v>0</v>
      </c>
      <c r="U18" s="14">
        <v>0</v>
      </c>
      <c r="V18" s="14"/>
      <c r="W18" s="14"/>
      <c r="X18" s="14"/>
      <c r="Y18" s="14">
        <v>0</v>
      </c>
      <c r="Z18" s="14">
        <v>0</v>
      </c>
      <c r="AA18" s="14"/>
      <c r="AB18" s="14">
        <v>0</v>
      </c>
      <c r="AC18" s="14"/>
      <c r="AD18" s="14">
        <v>0</v>
      </c>
      <c r="AE18" s="14">
        <v>0</v>
      </c>
      <c r="AF18" s="14"/>
      <c r="AG18" s="14">
        <v>0</v>
      </c>
      <c r="AH18" s="14"/>
      <c r="AI18" s="14">
        <v>0</v>
      </c>
      <c r="AJ18" s="14">
        <v>0</v>
      </c>
      <c r="AK18" s="14">
        <v>0</v>
      </c>
      <c r="AL18" s="13">
        <f t="shared" si="0"/>
        <v>0</v>
      </c>
    </row>
    <row r="19" ht="14.25" spans="1:38">
      <c r="A19" s="22" t="s">
        <v>923</v>
      </c>
      <c r="B19" s="24">
        <v>0</v>
      </c>
      <c r="C19" s="24">
        <v>0</v>
      </c>
      <c r="D19" s="24"/>
      <c r="E19" s="24">
        <v>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13">
        <v>0</v>
      </c>
      <c r="Q19" s="14"/>
      <c r="R19" s="14"/>
      <c r="S19" s="14"/>
      <c r="T19" s="14">
        <v>0</v>
      </c>
      <c r="U19" s="14">
        <v>0</v>
      </c>
      <c r="V19" s="14"/>
      <c r="W19" s="14"/>
      <c r="X19" s="14"/>
      <c r="Y19" s="14">
        <v>0</v>
      </c>
      <c r="Z19" s="14">
        <v>0</v>
      </c>
      <c r="AA19" s="14"/>
      <c r="AB19" s="14">
        <v>0</v>
      </c>
      <c r="AC19" s="14"/>
      <c r="AD19" s="14">
        <v>0</v>
      </c>
      <c r="AE19" s="14">
        <v>0</v>
      </c>
      <c r="AF19" s="14"/>
      <c r="AG19" s="14">
        <v>0</v>
      </c>
      <c r="AH19" s="14"/>
      <c r="AI19" s="14">
        <v>0</v>
      </c>
      <c r="AJ19" s="14">
        <v>0</v>
      </c>
      <c r="AK19" s="14">
        <v>0</v>
      </c>
      <c r="AL19" s="13">
        <f t="shared" si="0"/>
        <v>0</v>
      </c>
    </row>
    <row r="20" ht="14.25" spans="1:38">
      <c r="A20" s="22" t="s">
        <v>924</v>
      </c>
      <c r="B20" s="24">
        <v>0</v>
      </c>
      <c r="C20" s="24">
        <v>0</v>
      </c>
      <c r="D20" s="24"/>
      <c r="E20" s="24">
        <v>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13">
        <v>0</v>
      </c>
      <c r="Q20" s="14"/>
      <c r="R20" s="14"/>
      <c r="S20" s="14"/>
      <c r="T20" s="14">
        <v>0</v>
      </c>
      <c r="U20" s="14">
        <v>0</v>
      </c>
      <c r="V20" s="14"/>
      <c r="W20" s="14"/>
      <c r="X20" s="14"/>
      <c r="Y20" s="14">
        <v>0</v>
      </c>
      <c r="Z20" s="14">
        <v>0</v>
      </c>
      <c r="AA20" s="14"/>
      <c r="AB20" s="14">
        <v>0</v>
      </c>
      <c r="AC20" s="14"/>
      <c r="AD20" s="14">
        <v>0</v>
      </c>
      <c r="AE20" s="14">
        <v>0</v>
      </c>
      <c r="AF20" s="14"/>
      <c r="AG20" s="14">
        <v>0</v>
      </c>
      <c r="AH20" s="14"/>
      <c r="AI20" s="14">
        <v>0</v>
      </c>
      <c r="AJ20" s="14">
        <v>0</v>
      </c>
      <c r="AK20" s="14">
        <v>0</v>
      </c>
      <c r="AL20" s="13">
        <f t="shared" si="0"/>
        <v>0</v>
      </c>
    </row>
    <row r="21" ht="14.25" spans="1:38">
      <c r="A21" s="22" t="s">
        <v>99</v>
      </c>
      <c r="B21" s="24">
        <v>0</v>
      </c>
      <c r="C21" s="24">
        <v>0</v>
      </c>
      <c r="D21" s="24">
        <v>870</v>
      </c>
      <c r="E21" s="24">
        <v>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13">
        <v>0</v>
      </c>
      <c r="Q21" s="14"/>
      <c r="R21" s="14"/>
      <c r="S21" s="14"/>
      <c r="T21" s="14">
        <v>0</v>
      </c>
      <c r="U21" s="14">
        <v>0</v>
      </c>
      <c r="V21" s="14"/>
      <c r="W21" s="14"/>
      <c r="X21" s="14"/>
      <c r="Y21" s="14">
        <v>0</v>
      </c>
      <c r="Z21" s="14">
        <v>0</v>
      </c>
      <c r="AA21" s="14"/>
      <c r="AB21" s="14">
        <v>0</v>
      </c>
      <c r="AC21" s="14"/>
      <c r="AD21" s="14">
        <v>0</v>
      </c>
      <c r="AE21" s="14">
        <v>0</v>
      </c>
      <c r="AF21" s="14"/>
      <c r="AG21" s="14">
        <v>0</v>
      </c>
      <c r="AH21" s="14"/>
      <c r="AI21" s="14">
        <v>0</v>
      </c>
      <c r="AJ21" s="14">
        <v>0</v>
      </c>
      <c r="AK21" s="14">
        <v>0</v>
      </c>
      <c r="AL21" s="13">
        <f t="shared" si="0"/>
        <v>870</v>
      </c>
    </row>
    <row r="22" ht="14.25" spans="1:38">
      <c r="A22" s="28" t="s">
        <v>925</v>
      </c>
      <c r="B22" s="24">
        <v>0</v>
      </c>
      <c r="C22" s="24">
        <v>0</v>
      </c>
      <c r="D22" s="24">
        <v>0</v>
      </c>
      <c r="E22" s="24">
        <v>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13">
        <v>0</v>
      </c>
      <c r="Q22" s="14"/>
      <c r="R22" s="14"/>
      <c r="S22" s="14"/>
      <c r="T22" s="14">
        <v>0</v>
      </c>
      <c r="U22" s="14">
        <v>0</v>
      </c>
      <c r="V22" s="14"/>
      <c r="W22" s="14"/>
      <c r="X22" s="14"/>
      <c r="Y22" s="14">
        <v>0</v>
      </c>
      <c r="Z22" s="14">
        <v>0</v>
      </c>
      <c r="AA22" s="14"/>
      <c r="AB22" s="14">
        <v>0</v>
      </c>
      <c r="AC22" s="14"/>
      <c r="AD22" s="14">
        <v>0</v>
      </c>
      <c r="AE22" s="14">
        <v>0</v>
      </c>
      <c r="AF22" s="14"/>
      <c r="AG22" s="14">
        <v>0</v>
      </c>
      <c r="AH22" s="14"/>
      <c r="AI22" s="14">
        <v>0</v>
      </c>
      <c r="AJ22" s="14">
        <v>0</v>
      </c>
      <c r="AK22" s="14">
        <v>0</v>
      </c>
      <c r="AL22" s="13">
        <f t="shared" si="0"/>
        <v>0</v>
      </c>
    </row>
    <row r="23" ht="14.25" spans="1:38">
      <c r="A23" s="23" t="s">
        <v>106</v>
      </c>
      <c r="B23" s="24">
        <v>0</v>
      </c>
      <c r="C23" s="24">
        <v>0</v>
      </c>
      <c r="D23" s="24">
        <v>0</v>
      </c>
      <c r="E23" s="24">
        <v>0</v>
      </c>
      <c r="F23" s="24"/>
      <c r="G23" s="24"/>
      <c r="H23" s="24"/>
      <c r="I23" s="24">
        <v>62</v>
      </c>
      <c r="J23" s="24"/>
      <c r="K23" s="24"/>
      <c r="L23" s="24"/>
      <c r="M23" s="24"/>
      <c r="N23" s="24"/>
      <c r="O23" s="24"/>
      <c r="P23" s="13">
        <v>0</v>
      </c>
      <c r="Q23" s="14"/>
      <c r="R23" s="14"/>
      <c r="S23" s="14"/>
      <c r="T23" s="14">
        <v>0</v>
      </c>
      <c r="U23" s="14">
        <v>0</v>
      </c>
      <c r="V23" s="14"/>
      <c r="W23" s="14"/>
      <c r="X23" s="14"/>
      <c r="Y23" s="14">
        <v>0</v>
      </c>
      <c r="Z23" s="14">
        <v>0</v>
      </c>
      <c r="AA23" s="14"/>
      <c r="AB23" s="14">
        <v>0</v>
      </c>
      <c r="AC23" s="14"/>
      <c r="AD23" s="14">
        <v>0</v>
      </c>
      <c r="AE23" s="14">
        <v>0</v>
      </c>
      <c r="AF23" s="14"/>
      <c r="AG23" s="14">
        <v>0</v>
      </c>
      <c r="AH23" s="14"/>
      <c r="AI23" s="14">
        <v>0</v>
      </c>
      <c r="AJ23" s="14">
        <v>0</v>
      </c>
      <c r="AK23" s="14">
        <v>0</v>
      </c>
      <c r="AL23" s="13">
        <f t="shared" si="0"/>
        <v>62</v>
      </c>
    </row>
    <row r="24" ht="14.25" spans="1:38">
      <c r="A24" s="29" t="s">
        <v>101</v>
      </c>
      <c r="B24" s="24">
        <v>0</v>
      </c>
      <c r="C24" s="24">
        <v>0</v>
      </c>
      <c r="D24" s="24">
        <v>0</v>
      </c>
      <c r="E24" s="24">
        <v>0</v>
      </c>
      <c r="F24" s="24"/>
      <c r="G24" s="24"/>
      <c r="H24" s="24"/>
      <c r="I24" s="24">
        <v>488</v>
      </c>
      <c r="J24" s="24">
        <v>3052</v>
      </c>
      <c r="K24" s="24"/>
      <c r="L24" s="24"/>
      <c r="M24" s="24"/>
      <c r="N24" s="24"/>
      <c r="O24" s="24"/>
      <c r="P24" s="13">
        <v>0</v>
      </c>
      <c r="Q24" s="14"/>
      <c r="R24" s="14"/>
      <c r="S24" s="14"/>
      <c r="T24" s="14">
        <v>0</v>
      </c>
      <c r="U24" s="14">
        <v>0</v>
      </c>
      <c r="V24" s="14"/>
      <c r="W24" s="14"/>
      <c r="X24" s="14"/>
      <c r="Y24" s="14">
        <v>0</v>
      </c>
      <c r="Z24" s="14">
        <v>0</v>
      </c>
      <c r="AA24" s="14"/>
      <c r="AB24" s="14">
        <v>0</v>
      </c>
      <c r="AC24" s="14"/>
      <c r="AD24" s="14">
        <v>0</v>
      </c>
      <c r="AE24" s="14">
        <v>0</v>
      </c>
      <c r="AF24" s="14"/>
      <c r="AG24" s="14">
        <v>0</v>
      </c>
      <c r="AH24" s="14"/>
      <c r="AI24" s="14">
        <v>0</v>
      </c>
      <c r="AJ24" s="14">
        <v>0</v>
      </c>
      <c r="AK24" s="14">
        <v>0</v>
      </c>
      <c r="AL24" s="13">
        <f t="shared" si="0"/>
        <v>3540</v>
      </c>
    </row>
    <row r="25" ht="14.25" spans="1:38">
      <c r="A25" s="30" t="s">
        <v>108</v>
      </c>
      <c r="B25" s="24">
        <v>0</v>
      </c>
      <c r="C25" s="24">
        <v>0</v>
      </c>
      <c r="D25" s="24">
        <v>0</v>
      </c>
      <c r="E25" s="24">
        <v>0</v>
      </c>
      <c r="F25" s="24"/>
      <c r="G25" s="24"/>
      <c r="H25" s="24"/>
      <c r="I25" s="24">
        <v>7.5</v>
      </c>
      <c r="J25" s="24">
        <v>4</v>
      </c>
      <c r="K25" s="24"/>
      <c r="L25" s="24"/>
      <c r="M25" s="24"/>
      <c r="N25" s="24"/>
      <c r="O25" s="24"/>
      <c r="P25" s="13">
        <v>10</v>
      </c>
      <c r="Q25" s="14"/>
      <c r="R25" s="14"/>
      <c r="S25" s="14"/>
      <c r="T25" s="14">
        <v>0.21</v>
      </c>
      <c r="U25" s="14">
        <v>2.1</v>
      </c>
      <c r="V25" s="14"/>
      <c r="W25" s="14"/>
      <c r="X25" s="14"/>
      <c r="Y25" s="14">
        <v>0</v>
      </c>
      <c r="Z25" s="14">
        <v>0</v>
      </c>
      <c r="AA25" s="14"/>
      <c r="AB25" s="14">
        <v>0</v>
      </c>
      <c r="AC25" s="14"/>
      <c r="AD25" s="14">
        <v>0</v>
      </c>
      <c r="AE25" s="14">
        <v>0</v>
      </c>
      <c r="AF25" s="14"/>
      <c r="AG25" s="14">
        <v>1.19</v>
      </c>
      <c r="AH25" s="14"/>
      <c r="AI25" s="14">
        <v>0</v>
      </c>
      <c r="AJ25" s="14">
        <v>0</v>
      </c>
      <c r="AK25" s="14">
        <v>0</v>
      </c>
      <c r="AL25" s="13">
        <f t="shared" si="0"/>
        <v>25</v>
      </c>
    </row>
    <row r="26" ht="14.25" spans="1:38">
      <c r="A26" s="30" t="s">
        <v>926</v>
      </c>
      <c r="B26" s="24">
        <v>0</v>
      </c>
      <c r="C26" s="24">
        <v>0</v>
      </c>
      <c r="D26" s="24">
        <v>0</v>
      </c>
      <c r="E26" s="24">
        <v>0</v>
      </c>
      <c r="F26" s="24"/>
      <c r="G26" s="24"/>
      <c r="H26" s="24"/>
      <c r="I26" s="24">
        <v>0</v>
      </c>
      <c r="J26" s="24">
        <v>0</v>
      </c>
      <c r="K26" s="24"/>
      <c r="L26" s="24"/>
      <c r="M26" s="24"/>
      <c r="N26" s="24"/>
      <c r="O26" s="24"/>
      <c r="P26" s="13">
        <v>0</v>
      </c>
      <c r="Q26" s="14"/>
      <c r="R26" s="14"/>
      <c r="S26" s="14"/>
      <c r="T26" s="14">
        <v>0</v>
      </c>
      <c r="U26" s="14">
        <v>0</v>
      </c>
      <c r="V26" s="14"/>
      <c r="W26" s="14"/>
      <c r="X26" s="14"/>
      <c r="Y26" s="14">
        <v>0</v>
      </c>
      <c r="Z26" s="14">
        <v>0</v>
      </c>
      <c r="AA26" s="14"/>
      <c r="AB26" s="14">
        <v>0</v>
      </c>
      <c r="AC26" s="14"/>
      <c r="AD26" s="14">
        <v>0</v>
      </c>
      <c r="AE26" s="14">
        <v>0</v>
      </c>
      <c r="AF26" s="14"/>
      <c r="AG26" s="14">
        <v>0</v>
      </c>
      <c r="AH26" s="14"/>
      <c r="AI26" s="14">
        <v>0</v>
      </c>
      <c r="AJ26" s="14">
        <v>0</v>
      </c>
      <c r="AK26" s="14">
        <v>0</v>
      </c>
      <c r="AL26" s="13">
        <f t="shared" si="0"/>
        <v>0</v>
      </c>
    </row>
    <row r="27" ht="14.25" spans="1:38">
      <c r="A27" s="31" t="s">
        <v>927</v>
      </c>
      <c r="B27" s="24">
        <v>0</v>
      </c>
      <c r="C27" s="24">
        <v>0</v>
      </c>
      <c r="D27" s="24">
        <v>0</v>
      </c>
      <c r="E27" s="24">
        <v>0</v>
      </c>
      <c r="F27" s="24"/>
      <c r="G27" s="24"/>
      <c r="H27" s="24"/>
      <c r="I27" s="24">
        <v>0</v>
      </c>
      <c r="J27" s="24">
        <v>0</v>
      </c>
      <c r="K27" s="24"/>
      <c r="L27" s="24"/>
      <c r="M27" s="24"/>
      <c r="N27" s="24"/>
      <c r="O27" s="24"/>
      <c r="P27" s="13">
        <v>0</v>
      </c>
      <c r="Q27" s="14"/>
      <c r="R27" s="14"/>
      <c r="S27" s="14"/>
      <c r="T27" s="14">
        <v>0</v>
      </c>
      <c r="U27" s="14">
        <v>0</v>
      </c>
      <c r="V27" s="14"/>
      <c r="W27" s="14"/>
      <c r="X27" s="14"/>
      <c r="Y27" s="14">
        <v>0</v>
      </c>
      <c r="Z27" s="14">
        <v>0</v>
      </c>
      <c r="AA27" s="14"/>
      <c r="AB27" s="14">
        <v>0</v>
      </c>
      <c r="AC27" s="14"/>
      <c r="AD27" s="14">
        <v>0</v>
      </c>
      <c r="AE27" s="14">
        <v>0</v>
      </c>
      <c r="AF27" s="14"/>
      <c r="AG27" s="14">
        <v>0</v>
      </c>
      <c r="AH27" s="14"/>
      <c r="AI27" s="14">
        <v>0</v>
      </c>
      <c r="AJ27" s="14">
        <v>0</v>
      </c>
      <c r="AK27" s="14">
        <v>0</v>
      </c>
      <c r="AL27" s="13">
        <f t="shared" si="0"/>
        <v>0</v>
      </c>
    </row>
    <row r="28" ht="14.25" spans="1:38">
      <c r="A28" s="20" t="s">
        <v>115</v>
      </c>
      <c r="B28" s="24">
        <v>0</v>
      </c>
      <c r="C28" s="24">
        <v>0</v>
      </c>
      <c r="D28" s="24">
        <v>40</v>
      </c>
      <c r="E28" s="24">
        <v>0</v>
      </c>
      <c r="F28" s="24"/>
      <c r="G28" s="24"/>
      <c r="H28" s="24"/>
      <c r="I28" s="24">
        <v>240</v>
      </c>
      <c r="J28" s="24">
        <v>0</v>
      </c>
      <c r="K28" s="24"/>
      <c r="L28" s="24"/>
      <c r="M28" s="24"/>
      <c r="N28" s="24"/>
      <c r="O28" s="24"/>
      <c r="P28" s="13">
        <v>0</v>
      </c>
      <c r="Q28" s="14"/>
      <c r="R28" s="14"/>
      <c r="S28" s="14"/>
      <c r="T28" s="14">
        <v>0</v>
      </c>
      <c r="U28" s="14">
        <v>0</v>
      </c>
      <c r="V28" s="14"/>
      <c r="W28" s="14"/>
      <c r="X28" s="14"/>
      <c r="Y28" s="14">
        <v>0</v>
      </c>
      <c r="Z28" s="14">
        <v>0</v>
      </c>
      <c r="AA28" s="14"/>
      <c r="AB28" s="14">
        <v>0</v>
      </c>
      <c r="AC28" s="14"/>
      <c r="AD28" s="14">
        <v>0</v>
      </c>
      <c r="AE28" s="14">
        <v>0</v>
      </c>
      <c r="AF28" s="14"/>
      <c r="AG28" s="14">
        <v>0</v>
      </c>
      <c r="AH28" s="14"/>
      <c r="AI28" s="14">
        <v>0</v>
      </c>
      <c r="AJ28" s="14">
        <v>0</v>
      </c>
      <c r="AK28" s="14">
        <v>0</v>
      </c>
      <c r="AL28" s="13">
        <f t="shared" si="0"/>
        <v>280</v>
      </c>
    </row>
    <row r="29" ht="14.25" spans="1:38">
      <c r="A29" s="31" t="s">
        <v>117</v>
      </c>
      <c r="B29" s="24">
        <v>0</v>
      </c>
      <c r="C29" s="24">
        <v>0</v>
      </c>
      <c r="D29" s="24">
        <v>0</v>
      </c>
      <c r="E29" s="24">
        <v>0</v>
      </c>
      <c r="F29" s="24"/>
      <c r="G29" s="24"/>
      <c r="H29" s="24"/>
      <c r="I29" s="24">
        <v>0</v>
      </c>
      <c r="J29" s="24">
        <v>0</v>
      </c>
      <c r="K29" s="24"/>
      <c r="L29" s="24"/>
      <c r="M29" s="24"/>
      <c r="N29" s="24"/>
      <c r="O29" s="24">
        <v>1580</v>
      </c>
      <c r="P29" s="13">
        <v>0</v>
      </c>
      <c r="Q29" s="14"/>
      <c r="R29" s="14"/>
      <c r="S29" s="14"/>
      <c r="T29" s="14">
        <v>0</v>
      </c>
      <c r="U29" s="14">
        <v>0</v>
      </c>
      <c r="V29" s="14"/>
      <c r="W29" s="14"/>
      <c r="X29" s="14"/>
      <c r="Y29" s="14">
        <v>0</v>
      </c>
      <c r="Z29" s="14">
        <v>0</v>
      </c>
      <c r="AA29" s="14"/>
      <c r="AB29" s="14">
        <v>0</v>
      </c>
      <c r="AC29" s="14"/>
      <c r="AD29" s="14">
        <v>0</v>
      </c>
      <c r="AE29" s="14">
        <v>0</v>
      </c>
      <c r="AF29" s="14"/>
      <c r="AG29" s="14">
        <v>0</v>
      </c>
      <c r="AH29" s="14">
        <v>316</v>
      </c>
      <c r="AI29" s="14">
        <v>0</v>
      </c>
      <c r="AJ29" s="14">
        <v>0</v>
      </c>
      <c r="AK29" s="14">
        <v>0</v>
      </c>
      <c r="AL29" s="25">
        <f t="shared" si="0"/>
        <v>1896</v>
      </c>
    </row>
    <row r="30" ht="14.25" spans="1:38">
      <c r="A30" s="31" t="s">
        <v>928</v>
      </c>
      <c r="B30" s="32">
        <v>0</v>
      </c>
      <c r="C30" s="32">
        <v>0</v>
      </c>
      <c r="D30" s="32">
        <v>0</v>
      </c>
      <c r="E30" s="32">
        <v>0</v>
      </c>
      <c r="F30" s="32"/>
      <c r="G30" s="32"/>
      <c r="H30" s="32"/>
      <c r="I30" s="32">
        <v>0</v>
      </c>
      <c r="J30" s="32">
        <v>0</v>
      </c>
      <c r="K30" s="32"/>
      <c r="L30" s="32"/>
      <c r="M30" s="32"/>
      <c r="N30" s="32"/>
      <c r="O30" s="32"/>
      <c r="P30" s="13">
        <v>0</v>
      </c>
      <c r="Q30" s="14"/>
      <c r="R30" s="14"/>
      <c r="S30" s="14"/>
      <c r="T30" s="14">
        <v>0</v>
      </c>
      <c r="U30" s="14">
        <v>0</v>
      </c>
      <c r="V30" s="14"/>
      <c r="W30" s="14"/>
      <c r="X30" s="14"/>
      <c r="Y30" s="14">
        <v>0</v>
      </c>
      <c r="Z30" s="14">
        <v>0</v>
      </c>
      <c r="AA30" s="14"/>
      <c r="AB30" s="14">
        <v>0</v>
      </c>
      <c r="AC30" s="14"/>
      <c r="AD30" s="14">
        <v>0</v>
      </c>
      <c r="AE30" s="14">
        <v>0</v>
      </c>
      <c r="AF30" s="14"/>
      <c r="AG30" s="14">
        <v>0</v>
      </c>
      <c r="AH30" s="14"/>
      <c r="AI30" s="14">
        <v>0</v>
      </c>
      <c r="AJ30" s="14">
        <v>0</v>
      </c>
      <c r="AK30" s="14">
        <v>0</v>
      </c>
      <c r="AL30" s="13">
        <f t="shared" si="0"/>
        <v>0</v>
      </c>
    </row>
    <row r="31" ht="14.25" spans="1:38">
      <c r="A31" s="31" t="s">
        <v>929</v>
      </c>
      <c r="B31" s="32">
        <v>0</v>
      </c>
      <c r="C31" s="32">
        <v>0</v>
      </c>
      <c r="D31" s="32">
        <v>0</v>
      </c>
      <c r="E31" s="32">
        <v>0</v>
      </c>
      <c r="F31" s="32"/>
      <c r="G31" s="32"/>
      <c r="H31" s="32"/>
      <c r="I31" s="32">
        <v>0</v>
      </c>
      <c r="J31" s="32">
        <v>0</v>
      </c>
      <c r="K31" s="32"/>
      <c r="L31" s="32"/>
      <c r="M31" s="32"/>
      <c r="N31" s="32"/>
      <c r="O31" s="32"/>
      <c r="P31" s="13">
        <v>0</v>
      </c>
      <c r="Q31" s="14"/>
      <c r="R31" s="14"/>
      <c r="S31" s="14"/>
      <c r="T31" s="14">
        <v>0</v>
      </c>
      <c r="U31" s="14">
        <v>0</v>
      </c>
      <c r="V31" s="14"/>
      <c r="W31" s="14"/>
      <c r="X31" s="14"/>
      <c r="Y31" s="14">
        <v>0</v>
      </c>
      <c r="Z31" s="14">
        <v>0</v>
      </c>
      <c r="AA31" s="14"/>
      <c r="AB31" s="14">
        <v>0</v>
      </c>
      <c r="AC31" s="14"/>
      <c r="AD31" s="14">
        <v>0</v>
      </c>
      <c r="AE31" s="14">
        <v>0</v>
      </c>
      <c r="AF31" s="14"/>
      <c r="AG31" s="14">
        <v>0</v>
      </c>
      <c r="AH31" s="14"/>
      <c r="AI31" s="14">
        <v>0</v>
      </c>
      <c r="AJ31" s="14">
        <v>0</v>
      </c>
      <c r="AK31" s="14">
        <v>0</v>
      </c>
      <c r="AL31" s="13">
        <f t="shared" si="0"/>
        <v>0</v>
      </c>
    </row>
    <row r="32" ht="14.25" spans="1:38">
      <c r="A32" s="30" t="s">
        <v>930</v>
      </c>
      <c r="B32" s="32">
        <v>0</v>
      </c>
      <c r="C32" s="32">
        <v>0</v>
      </c>
      <c r="D32" s="32">
        <v>0</v>
      </c>
      <c r="E32" s="32">
        <v>0</v>
      </c>
      <c r="F32" s="32"/>
      <c r="G32" s="32"/>
      <c r="H32" s="32"/>
      <c r="I32" s="32">
        <v>0</v>
      </c>
      <c r="J32" s="32">
        <v>0</v>
      </c>
      <c r="K32" s="32"/>
      <c r="L32" s="32"/>
      <c r="M32" s="32"/>
      <c r="N32" s="32"/>
      <c r="O32" s="32"/>
      <c r="P32" s="13">
        <v>0</v>
      </c>
      <c r="Q32" s="14"/>
      <c r="R32" s="14"/>
      <c r="S32" s="14"/>
      <c r="T32" s="14">
        <v>0</v>
      </c>
      <c r="U32" s="14">
        <v>0</v>
      </c>
      <c r="V32" s="14"/>
      <c r="W32" s="14"/>
      <c r="X32" s="14"/>
      <c r="Y32" s="14">
        <v>0</v>
      </c>
      <c r="Z32" s="14">
        <v>0</v>
      </c>
      <c r="AA32" s="14"/>
      <c r="AB32" s="14">
        <v>0</v>
      </c>
      <c r="AC32" s="14"/>
      <c r="AD32" s="14">
        <v>0</v>
      </c>
      <c r="AE32" s="14">
        <v>0</v>
      </c>
      <c r="AF32" s="14"/>
      <c r="AG32" s="14">
        <v>0</v>
      </c>
      <c r="AH32" s="14"/>
      <c r="AI32" s="14">
        <v>0</v>
      </c>
      <c r="AJ32" s="14">
        <v>0</v>
      </c>
      <c r="AK32" s="14">
        <v>0</v>
      </c>
      <c r="AL32" s="13">
        <f t="shared" si="0"/>
        <v>0</v>
      </c>
    </row>
    <row r="33" ht="14.25" spans="1:38">
      <c r="A33" s="20" t="s">
        <v>141</v>
      </c>
      <c r="B33" s="32">
        <v>15</v>
      </c>
      <c r="C33" s="32">
        <v>110</v>
      </c>
      <c r="D33" s="32">
        <v>0</v>
      </c>
      <c r="E33" s="32">
        <v>3</v>
      </c>
      <c r="F33" s="32"/>
      <c r="G33" s="32"/>
      <c r="H33" s="32"/>
      <c r="I33" s="32">
        <v>0</v>
      </c>
      <c r="J33" s="32">
        <v>0</v>
      </c>
      <c r="K33" s="32"/>
      <c r="L33" s="32"/>
      <c r="M33" s="32"/>
      <c r="N33" s="32"/>
      <c r="O33" s="32"/>
      <c r="P33" s="13">
        <v>0</v>
      </c>
      <c r="Q33" s="14"/>
      <c r="R33" s="14"/>
      <c r="S33" s="14"/>
      <c r="T33" s="14">
        <v>0</v>
      </c>
      <c r="U33" s="14">
        <v>0</v>
      </c>
      <c r="V33" s="14"/>
      <c r="W33" s="14"/>
      <c r="X33" s="14"/>
      <c r="Y33" s="14">
        <v>0</v>
      </c>
      <c r="Z33" s="14">
        <v>0</v>
      </c>
      <c r="AA33" s="14"/>
      <c r="AB33" s="14">
        <v>0</v>
      </c>
      <c r="AC33" s="14"/>
      <c r="AD33" s="14">
        <v>25</v>
      </c>
      <c r="AE33" s="14">
        <v>7</v>
      </c>
      <c r="AF33" s="14"/>
      <c r="AG33" s="14">
        <v>0</v>
      </c>
      <c r="AH33" s="14"/>
      <c r="AI33" s="14">
        <v>0</v>
      </c>
      <c r="AJ33" s="14">
        <v>0</v>
      </c>
      <c r="AK33" s="14">
        <v>0</v>
      </c>
      <c r="AL33" s="25">
        <f t="shared" si="0"/>
        <v>160</v>
      </c>
    </row>
    <row r="34" ht="14.25" spans="1:38">
      <c r="A34" s="30" t="s">
        <v>143</v>
      </c>
      <c r="B34" s="32">
        <v>0</v>
      </c>
      <c r="C34" s="32">
        <v>0</v>
      </c>
      <c r="D34" s="32">
        <v>0</v>
      </c>
      <c r="E34" s="32">
        <v>0</v>
      </c>
      <c r="F34" s="32"/>
      <c r="G34" s="32"/>
      <c r="H34" s="32"/>
      <c r="I34" s="32">
        <v>0</v>
      </c>
      <c r="J34" s="32">
        <v>0</v>
      </c>
      <c r="K34" s="32"/>
      <c r="L34" s="32"/>
      <c r="M34" s="32"/>
      <c r="N34" s="32"/>
      <c r="O34" s="32"/>
      <c r="P34" s="13">
        <v>0</v>
      </c>
      <c r="Q34" s="14"/>
      <c r="R34" s="14"/>
      <c r="S34" s="14"/>
      <c r="T34" s="14">
        <v>0</v>
      </c>
      <c r="U34" s="14">
        <v>0</v>
      </c>
      <c r="V34" s="14"/>
      <c r="W34" s="14"/>
      <c r="X34" s="14"/>
      <c r="Y34" s="14">
        <v>8</v>
      </c>
      <c r="Z34" s="14">
        <v>340</v>
      </c>
      <c r="AA34" s="14"/>
      <c r="AB34" s="14">
        <v>0</v>
      </c>
      <c r="AC34" s="14"/>
      <c r="AD34" s="14">
        <v>0</v>
      </c>
      <c r="AE34" s="14">
        <v>0</v>
      </c>
      <c r="AF34" s="14"/>
      <c r="AG34" s="14">
        <v>0</v>
      </c>
      <c r="AH34" s="14"/>
      <c r="AI34" s="14">
        <v>0</v>
      </c>
      <c r="AJ34" s="14">
        <v>100</v>
      </c>
      <c r="AK34" s="14">
        <v>80</v>
      </c>
      <c r="AL34" s="25">
        <f t="shared" si="0"/>
        <v>528</v>
      </c>
    </row>
    <row r="35" ht="14.25" spans="1:38">
      <c r="A35" s="20" t="s">
        <v>149</v>
      </c>
      <c r="B35" s="32">
        <v>75</v>
      </c>
      <c r="C35" s="32">
        <v>0</v>
      </c>
      <c r="D35" s="32">
        <v>20</v>
      </c>
      <c r="E35" s="32">
        <v>0</v>
      </c>
      <c r="F35" s="32"/>
      <c r="G35" s="32"/>
      <c r="H35" s="32"/>
      <c r="I35" s="32">
        <v>60</v>
      </c>
      <c r="J35" s="32">
        <v>0</v>
      </c>
      <c r="K35" s="32"/>
      <c r="L35" s="32"/>
      <c r="M35" s="32"/>
      <c r="N35" s="32"/>
      <c r="O35" s="32"/>
      <c r="P35" s="13">
        <v>0</v>
      </c>
      <c r="Q35" s="14"/>
      <c r="R35" s="14"/>
      <c r="S35" s="14"/>
      <c r="T35" s="14">
        <v>0</v>
      </c>
      <c r="U35" s="14">
        <v>0</v>
      </c>
      <c r="V35" s="14"/>
      <c r="W35" s="14"/>
      <c r="X35" s="14"/>
      <c r="Y35" s="14">
        <v>8</v>
      </c>
      <c r="Z35" s="14">
        <v>0</v>
      </c>
      <c r="AA35" s="14"/>
      <c r="AB35" s="14">
        <v>0</v>
      </c>
      <c r="AC35" s="14"/>
      <c r="AD35" s="14">
        <v>25</v>
      </c>
      <c r="AE35" s="14">
        <v>0</v>
      </c>
      <c r="AF35" s="14"/>
      <c r="AG35" s="14">
        <v>0</v>
      </c>
      <c r="AH35" s="14"/>
      <c r="AI35" s="14">
        <v>0</v>
      </c>
      <c r="AJ35" s="14">
        <v>0</v>
      </c>
      <c r="AK35" s="14">
        <v>0</v>
      </c>
      <c r="AL35" s="25">
        <f t="shared" si="0"/>
        <v>188</v>
      </c>
    </row>
    <row r="36" ht="14.25" spans="1:38">
      <c r="A36" s="30" t="s">
        <v>151</v>
      </c>
      <c r="B36" s="32">
        <v>0</v>
      </c>
      <c r="C36" s="32">
        <v>0</v>
      </c>
      <c r="D36" s="32">
        <v>0</v>
      </c>
      <c r="E36" s="32">
        <v>0</v>
      </c>
      <c r="F36" s="32"/>
      <c r="G36" s="32"/>
      <c r="H36" s="32"/>
      <c r="I36" s="32">
        <v>0</v>
      </c>
      <c r="J36" s="32">
        <v>0</v>
      </c>
      <c r="K36" s="32"/>
      <c r="L36" s="32"/>
      <c r="M36" s="32"/>
      <c r="N36" s="32"/>
      <c r="O36" s="32"/>
      <c r="P36" s="13">
        <v>0</v>
      </c>
      <c r="Q36" s="14"/>
      <c r="R36" s="14"/>
      <c r="S36" s="14"/>
      <c r="T36" s="14">
        <v>0</v>
      </c>
      <c r="U36" s="14">
        <v>0</v>
      </c>
      <c r="V36" s="14"/>
      <c r="W36" s="14"/>
      <c r="X36" s="14"/>
      <c r="Y36" s="14">
        <v>4</v>
      </c>
      <c r="Z36" s="14">
        <v>0</v>
      </c>
      <c r="AA36" s="14"/>
      <c r="AB36" s="14">
        <v>0</v>
      </c>
      <c r="AC36" s="14"/>
      <c r="AD36" s="14">
        <v>0</v>
      </c>
      <c r="AE36" s="14">
        <v>0</v>
      </c>
      <c r="AF36" s="14"/>
      <c r="AG36" s="14">
        <v>0</v>
      </c>
      <c r="AH36" s="14"/>
      <c r="AI36" s="14">
        <v>0</v>
      </c>
      <c r="AJ36" s="14">
        <v>0</v>
      </c>
      <c r="AK36" s="14">
        <v>0</v>
      </c>
      <c r="AL36" s="25">
        <f t="shared" si="0"/>
        <v>4</v>
      </c>
    </row>
    <row r="37" ht="14.25" spans="1:38">
      <c r="A37" s="33" t="s">
        <v>931</v>
      </c>
      <c r="B37" s="34">
        <v>0</v>
      </c>
      <c r="C37" s="34">
        <v>0</v>
      </c>
      <c r="D37" s="34">
        <v>0</v>
      </c>
      <c r="E37" s="34">
        <v>0</v>
      </c>
      <c r="F37" s="34"/>
      <c r="G37" s="34"/>
      <c r="H37" s="34"/>
      <c r="I37" s="34">
        <v>0</v>
      </c>
      <c r="J37" s="34">
        <v>0</v>
      </c>
      <c r="K37" s="34"/>
      <c r="L37" s="34"/>
      <c r="M37" s="34"/>
      <c r="N37" s="34"/>
      <c r="O37" s="34"/>
      <c r="P37" s="13">
        <v>0</v>
      </c>
      <c r="Q37" s="14"/>
      <c r="R37" s="14"/>
      <c r="S37" s="14"/>
      <c r="T37" s="14">
        <v>0</v>
      </c>
      <c r="U37" s="14">
        <v>0</v>
      </c>
      <c r="V37" s="14"/>
      <c r="W37" s="14"/>
      <c r="X37" s="14"/>
      <c r="Y37" s="14">
        <v>0</v>
      </c>
      <c r="Z37" s="14">
        <v>0</v>
      </c>
      <c r="AA37" s="14"/>
      <c r="AB37" s="14">
        <v>0</v>
      </c>
      <c r="AC37" s="14"/>
      <c r="AD37" s="14">
        <v>0</v>
      </c>
      <c r="AE37" s="14">
        <v>0</v>
      </c>
      <c r="AF37" s="14"/>
      <c r="AG37" s="14">
        <v>0</v>
      </c>
      <c r="AH37" s="14"/>
      <c r="AI37" s="14">
        <v>0</v>
      </c>
      <c r="AJ37" s="14">
        <v>0</v>
      </c>
      <c r="AK37" s="14">
        <v>0</v>
      </c>
      <c r="AL37" s="13">
        <f t="shared" si="0"/>
        <v>0</v>
      </c>
    </row>
    <row r="38" ht="14.25" spans="1:38">
      <c r="A38" s="30" t="s">
        <v>153</v>
      </c>
      <c r="B38" s="34">
        <v>0</v>
      </c>
      <c r="C38" s="34">
        <v>0</v>
      </c>
      <c r="D38" s="34">
        <v>20</v>
      </c>
      <c r="E38" s="34">
        <v>0</v>
      </c>
      <c r="F38" s="34"/>
      <c r="G38" s="34"/>
      <c r="H38" s="34"/>
      <c r="I38" s="34">
        <v>0</v>
      </c>
      <c r="J38" s="34">
        <v>0</v>
      </c>
      <c r="K38" s="34"/>
      <c r="L38" s="34"/>
      <c r="M38" s="34"/>
      <c r="N38" s="34"/>
      <c r="O38" s="34"/>
      <c r="P38" s="13">
        <v>0</v>
      </c>
      <c r="Q38" s="14"/>
      <c r="R38" s="14"/>
      <c r="S38" s="14"/>
      <c r="T38" s="14">
        <v>0</v>
      </c>
      <c r="U38" s="14">
        <v>0</v>
      </c>
      <c r="V38" s="14"/>
      <c r="W38" s="14"/>
      <c r="X38" s="14"/>
      <c r="Y38" s="14">
        <v>0</v>
      </c>
      <c r="Z38" s="14">
        <v>0</v>
      </c>
      <c r="AA38" s="14"/>
      <c r="AB38" s="14">
        <v>0</v>
      </c>
      <c r="AC38" s="14"/>
      <c r="AD38" s="14">
        <v>0</v>
      </c>
      <c r="AE38" s="14">
        <v>0</v>
      </c>
      <c r="AF38" s="14"/>
      <c r="AG38" s="14">
        <v>0</v>
      </c>
      <c r="AH38" s="14"/>
      <c r="AI38" s="14">
        <v>0</v>
      </c>
      <c r="AJ38" s="14">
        <v>0</v>
      </c>
      <c r="AK38" s="14">
        <v>0</v>
      </c>
      <c r="AL38" s="25">
        <f t="shared" si="0"/>
        <v>20</v>
      </c>
    </row>
    <row r="39" ht="14.25" spans="1:38">
      <c r="A39" s="30" t="s">
        <v>932</v>
      </c>
      <c r="B39" s="34">
        <v>0</v>
      </c>
      <c r="C39" s="34">
        <v>0</v>
      </c>
      <c r="D39" s="34">
        <v>0</v>
      </c>
      <c r="E39" s="34">
        <v>0</v>
      </c>
      <c r="F39" s="34"/>
      <c r="G39" s="34"/>
      <c r="H39" s="34"/>
      <c r="I39" s="34">
        <v>0</v>
      </c>
      <c r="J39" s="34">
        <v>0</v>
      </c>
      <c r="K39" s="34"/>
      <c r="L39" s="34"/>
      <c r="M39" s="34"/>
      <c r="N39" s="34"/>
      <c r="O39" s="34"/>
      <c r="P39" s="13">
        <v>0</v>
      </c>
      <c r="Q39" s="14"/>
      <c r="R39" s="14"/>
      <c r="S39" s="14"/>
      <c r="T39" s="14">
        <v>0</v>
      </c>
      <c r="U39" s="14">
        <v>0</v>
      </c>
      <c r="V39" s="14"/>
      <c r="W39" s="14"/>
      <c r="X39" s="14"/>
      <c r="Y39" s="14">
        <v>0</v>
      </c>
      <c r="Z39" s="14">
        <v>0</v>
      </c>
      <c r="AA39" s="14"/>
      <c r="AB39" s="14">
        <v>0</v>
      </c>
      <c r="AC39" s="14"/>
      <c r="AD39" s="14">
        <v>0</v>
      </c>
      <c r="AE39" s="14">
        <v>0</v>
      </c>
      <c r="AF39" s="14"/>
      <c r="AG39" s="14">
        <v>0</v>
      </c>
      <c r="AH39" s="14"/>
      <c r="AI39" s="14">
        <v>0</v>
      </c>
      <c r="AJ39" s="14">
        <v>0</v>
      </c>
      <c r="AK39" s="14">
        <v>0</v>
      </c>
      <c r="AL39" s="13">
        <f t="shared" si="0"/>
        <v>0</v>
      </c>
    </row>
    <row r="40" ht="14.25" spans="1:38">
      <c r="A40" s="30" t="s">
        <v>933</v>
      </c>
      <c r="B40" s="34">
        <v>0</v>
      </c>
      <c r="C40" s="34">
        <v>0</v>
      </c>
      <c r="D40" s="34">
        <v>0</v>
      </c>
      <c r="E40" s="34">
        <v>0</v>
      </c>
      <c r="F40" s="34"/>
      <c r="G40" s="34"/>
      <c r="H40" s="34"/>
      <c r="I40" s="34">
        <v>0</v>
      </c>
      <c r="J40" s="34">
        <v>0</v>
      </c>
      <c r="K40" s="34"/>
      <c r="L40" s="34"/>
      <c r="M40" s="34"/>
      <c r="N40" s="34"/>
      <c r="O40" s="34"/>
      <c r="P40" s="13">
        <v>0</v>
      </c>
      <c r="Q40" s="14"/>
      <c r="R40" s="14"/>
      <c r="S40" s="14"/>
      <c r="T40" s="14">
        <v>0</v>
      </c>
      <c r="U40" s="14">
        <v>0</v>
      </c>
      <c r="V40" s="14"/>
      <c r="W40" s="14"/>
      <c r="X40" s="14"/>
      <c r="Y40" s="14">
        <v>0</v>
      </c>
      <c r="Z40" s="14">
        <v>0</v>
      </c>
      <c r="AA40" s="14"/>
      <c r="AB40" s="14">
        <v>0</v>
      </c>
      <c r="AC40" s="14"/>
      <c r="AD40" s="14">
        <v>0</v>
      </c>
      <c r="AE40" s="14">
        <v>0</v>
      </c>
      <c r="AF40" s="14"/>
      <c r="AG40" s="14">
        <v>0</v>
      </c>
      <c r="AH40" s="14"/>
      <c r="AI40" s="14">
        <v>0</v>
      </c>
      <c r="AJ40" s="14">
        <v>0</v>
      </c>
      <c r="AK40" s="14">
        <v>0</v>
      </c>
      <c r="AL40" s="13">
        <f t="shared" si="0"/>
        <v>0</v>
      </c>
    </row>
    <row r="41" ht="14.25" spans="1:38">
      <c r="A41" s="35" t="s">
        <v>934</v>
      </c>
      <c r="B41" s="34">
        <v>0</v>
      </c>
      <c r="C41" s="34">
        <v>0</v>
      </c>
      <c r="D41" s="34">
        <v>0</v>
      </c>
      <c r="E41" s="34">
        <v>0</v>
      </c>
      <c r="F41" s="34"/>
      <c r="G41" s="34"/>
      <c r="H41" s="34"/>
      <c r="I41" s="34">
        <v>0</v>
      </c>
      <c r="J41" s="34">
        <v>0</v>
      </c>
      <c r="K41" s="34"/>
      <c r="L41" s="34"/>
      <c r="M41" s="34"/>
      <c r="N41" s="34"/>
      <c r="O41" s="34"/>
      <c r="P41" s="13">
        <v>0</v>
      </c>
      <c r="Q41" s="14"/>
      <c r="R41" s="14"/>
      <c r="S41" s="14"/>
      <c r="T41" s="14">
        <v>0</v>
      </c>
      <c r="U41" s="14">
        <v>0</v>
      </c>
      <c r="V41" s="14"/>
      <c r="W41" s="14"/>
      <c r="X41" s="14"/>
      <c r="Y41" s="14">
        <v>0</v>
      </c>
      <c r="Z41" s="14">
        <v>0</v>
      </c>
      <c r="AA41" s="14"/>
      <c r="AB41" s="14">
        <v>0</v>
      </c>
      <c r="AC41" s="14"/>
      <c r="AD41" s="14">
        <v>0</v>
      </c>
      <c r="AE41" s="14">
        <v>0</v>
      </c>
      <c r="AF41" s="14"/>
      <c r="AG41" s="14">
        <v>0</v>
      </c>
      <c r="AH41" s="14"/>
      <c r="AI41" s="14">
        <v>0</v>
      </c>
      <c r="AJ41" s="14">
        <v>0</v>
      </c>
      <c r="AK41" s="14">
        <v>0</v>
      </c>
      <c r="AL41" s="13">
        <f t="shared" si="0"/>
        <v>0</v>
      </c>
    </row>
    <row r="42" ht="14.25" spans="1:38">
      <c r="A42" s="30" t="s">
        <v>935</v>
      </c>
      <c r="B42" s="34">
        <v>0</v>
      </c>
      <c r="C42" s="34">
        <v>0</v>
      </c>
      <c r="D42" s="34">
        <v>0</v>
      </c>
      <c r="E42" s="34">
        <v>0</v>
      </c>
      <c r="F42" s="34"/>
      <c r="G42" s="34"/>
      <c r="H42" s="34"/>
      <c r="I42" s="34">
        <v>0</v>
      </c>
      <c r="J42" s="34">
        <v>0</v>
      </c>
      <c r="K42" s="34"/>
      <c r="L42" s="34"/>
      <c r="M42" s="34"/>
      <c r="N42" s="34"/>
      <c r="O42" s="34"/>
      <c r="P42" s="13">
        <v>0</v>
      </c>
      <c r="Q42" s="14"/>
      <c r="R42" s="14"/>
      <c r="S42" s="14"/>
      <c r="T42" s="14">
        <v>0</v>
      </c>
      <c r="U42" s="14">
        <v>0</v>
      </c>
      <c r="V42" s="14"/>
      <c r="W42" s="14"/>
      <c r="X42" s="14"/>
      <c r="Y42" s="14">
        <v>0</v>
      </c>
      <c r="Z42" s="14">
        <v>0</v>
      </c>
      <c r="AA42" s="14"/>
      <c r="AB42" s="14">
        <v>0</v>
      </c>
      <c r="AC42" s="14"/>
      <c r="AD42" s="14">
        <v>0</v>
      </c>
      <c r="AE42" s="14">
        <v>0</v>
      </c>
      <c r="AF42" s="14"/>
      <c r="AG42" s="14">
        <v>0</v>
      </c>
      <c r="AH42" s="14"/>
      <c r="AI42" s="14">
        <v>0</v>
      </c>
      <c r="AJ42" s="14">
        <v>0</v>
      </c>
      <c r="AK42" s="14">
        <v>0</v>
      </c>
      <c r="AL42" s="13">
        <f t="shared" si="0"/>
        <v>0</v>
      </c>
    </row>
    <row r="43" ht="14.25" spans="1:38">
      <c r="A43" s="30" t="s">
        <v>936</v>
      </c>
      <c r="B43" s="34">
        <v>0</v>
      </c>
      <c r="C43" s="34">
        <v>0</v>
      </c>
      <c r="D43" s="34">
        <v>0</v>
      </c>
      <c r="E43" s="34">
        <v>0</v>
      </c>
      <c r="F43" s="34"/>
      <c r="G43" s="34"/>
      <c r="H43" s="34"/>
      <c r="I43" s="34">
        <v>0</v>
      </c>
      <c r="J43" s="34">
        <v>0</v>
      </c>
      <c r="K43" s="34"/>
      <c r="L43" s="34"/>
      <c r="M43" s="34"/>
      <c r="N43" s="34"/>
      <c r="O43" s="34"/>
      <c r="P43" s="13">
        <v>0</v>
      </c>
      <c r="Q43" s="14"/>
      <c r="R43" s="14"/>
      <c r="S43" s="14"/>
      <c r="T43" s="14">
        <v>0</v>
      </c>
      <c r="U43" s="14">
        <v>0</v>
      </c>
      <c r="V43" s="14"/>
      <c r="W43" s="14"/>
      <c r="X43" s="14"/>
      <c r="Y43" s="14">
        <v>0</v>
      </c>
      <c r="Z43" s="14">
        <v>0</v>
      </c>
      <c r="AA43" s="14"/>
      <c r="AB43" s="14">
        <v>0</v>
      </c>
      <c r="AC43" s="14"/>
      <c r="AD43" s="14">
        <v>0</v>
      </c>
      <c r="AE43" s="14">
        <v>0</v>
      </c>
      <c r="AF43" s="14"/>
      <c r="AG43" s="14">
        <v>0</v>
      </c>
      <c r="AH43" s="14"/>
      <c r="AI43" s="14">
        <v>0</v>
      </c>
      <c r="AJ43" s="14">
        <v>0</v>
      </c>
      <c r="AK43" s="14">
        <v>0</v>
      </c>
      <c r="AL43" s="13">
        <f t="shared" si="0"/>
        <v>0</v>
      </c>
    </row>
    <row r="44" ht="14.25" spans="1:38">
      <c r="A44" s="30" t="s">
        <v>937</v>
      </c>
      <c r="B44" s="34">
        <v>0</v>
      </c>
      <c r="C44" s="34">
        <v>0</v>
      </c>
      <c r="D44" s="34">
        <v>0</v>
      </c>
      <c r="E44" s="34">
        <v>0</v>
      </c>
      <c r="F44" s="34"/>
      <c r="G44" s="34"/>
      <c r="H44" s="34"/>
      <c r="I44" s="34">
        <v>0</v>
      </c>
      <c r="J44" s="34">
        <v>0</v>
      </c>
      <c r="K44" s="34"/>
      <c r="L44" s="34"/>
      <c r="M44" s="34"/>
      <c r="N44" s="34"/>
      <c r="O44" s="34"/>
      <c r="P44" s="13">
        <v>0</v>
      </c>
      <c r="Q44" s="14"/>
      <c r="R44" s="14"/>
      <c r="S44" s="14"/>
      <c r="T44" s="14">
        <v>0</v>
      </c>
      <c r="U44" s="14">
        <v>0</v>
      </c>
      <c r="V44" s="14"/>
      <c r="W44" s="14"/>
      <c r="X44" s="14"/>
      <c r="Y44" s="14">
        <v>0</v>
      </c>
      <c r="Z44" s="14">
        <v>0</v>
      </c>
      <c r="AA44" s="14"/>
      <c r="AB44" s="14">
        <v>0</v>
      </c>
      <c r="AC44" s="14"/>
      <c r="AD44" s="14">
        <v>0</v>
      </c>
      <c r="AE44" s="14">
        <v>0</v>
      </c>
      <c r="AF44" s="14"/>
      <c r="AG44" s="14">
        <v>0</v>
      </c>
      <c r="AH44" s="14"/>
      <c r="AI44" s="14">
        <v>0</v>
      </c>
      <c r="AJ44" s="14">
        <v>0</v>
      </c>
      <c r="AK44" s="14">
        <v>0</v>
      </c>
      <c r="AL44" s="13">
        <f t="shared" si="0"/>
        <v>0</v>
      </c>
    </row>
    <row r="45" ht="14.25" spans="1:38">
      <c r="A45" s="30" t="s">
        <v>938</v>
      </c>
      <c r="B45" s="34">
        <v>0</v>
      </c>
      <c r="C45" s="34">
        <v>0</v>
      </c>
      <c r="D45" s="34">
        <v>0</v>
      </c>
      <c r="E45" s="34">
        <v>0</v>
      </c>
      <c r="F45" s="34"/>
      <c r="G45" s="34"/>
      <c r="H45" s="34"/>
      <c r="I45" s="34">
        <v>0</v>
      </c>
      <c r="J45" s="34">
        <v>0</v>
      </c>
      <c r="K45" s="34"/>
      <c r="L45" s="34"/>
      <c r="M45" s="34"/>
      <c r="N45" s="34"/>
      <c r="O45" s="34"/>
      <c r="P45" s="13">
        <v>0</v>
      </c>
      <c r="Q45" s="14"/>
      <c r="R45" s="14"/>
      <c r="S45" s="14"/>
      <c r="T45" s="14">
        <v>0</v>
      </c>
      <c r="U45" s="14">
        <v>0</v>
      </c>
      <c r="V45" s="14"/>
      <c r="W45" s="14"/>
      <c r="X45" s="14"/>
      <c r="Y45" s="14">
        <v>0</v>
      </c>
      <c r="Z45" s="14">
        <v>0</v>
      </c>
      <c r="AA45" s="14"/>
      <c r="AB45" s="14">
        <v>0</v>
      </c>
      <c r="AC45" s="14"/>
      <c r="AD45" s="14">
        <v>0</v>
      </c>
      <c r="AE45" s="14">
        <v>0</v>
      </c>
      <c r="AF45" s="14"/>
      <c r="AG45" s="14">
        <v>0</v>
      </c>
      <c r="AH45" s="14"/>
      <c r="AI45" s="14">
        <v>0</v>
      </c>
      <c r="AJ45" s="14">
        <v>0</v>
      </c>
      <c r="AK45" s="14">
        <v>0</v>
      </c>
      <c r="AL45" s="13">
        <f t="shared" si="0"/>
        <v>0</v>
      </c>
    </row>
    <row r="46" ht="14.25" spans="1:38">
      <c r="A46" s="30" t="s">
        <v>162</v>
      </c>
      <c r="B46" s="34"/>
      <c r="C46" s="34">
        <v>0</v>
      </c>
      <c r="D46" s="34">
        <v>0</v>
      </c>
      <c r="E46" s="34">
        <v>0</v>
      </c>
      <c r="F46" s="34"/>
      <c r="G46" s="34"/>
      <c r="H46" s="34"/>
      <c r="I46" s="34">
        <v>0</v>
      </c>
      <c r="J46" s="34">
        <v>0</v>
      </c>
      <c r="K46" s="34"/>
      <c r="L46" s="34"/>
      <c r="M46" s="34"/>
      <c r="N46" s="34"/>
      <c r="O46" s="34"/>
      <c r="P46" s="13">
        <v>0</v>
      </c>
      <c r="Q46" s="14"/>
      <c r="R46" s="14"/>
      <c r="S46" s="14"/>
      <c r="T46" s="14">
        <v>1.68</v>
      </c>
      <c r="U46" s="14">
        <v>14.8</v>
      </c>
      <c r="V46" s="14"/>
      <c r="W46" s="14"/>
      <c r="X46" s="14"/>
      <c r="Y46" s="14">
        <v>0</v>
      </c>
      <c r="Z46" s="14">
        <v>0</v>
      </c>
      <c r="AA46" s="14"/>
      <c r="AB46" s="14">
        <v>0</v>
      </c>
      <c r="AC46" s="14"/>
      <c r="AD46" s="14">
        <v>14</v>
      </c>
      <c r="AE46" s="14">
        <v>0</v>
      </c>
      <c r="AF46" s="14"/>
      <c r="AG46" s="14">
        <v>9.52</v>
      </c>
      <c r="AH46" s="14"/>
      <c r="AI46" s="14">
        <v>0</v>
      </c>
      <c r="AJ46" s="14">
        <v>0</v>
      </c>
      <c r="AK46" s="14">
        <v>0</v>
      </c>
      <c r="AL46" s="13">
        <f t="shared" si="0"/>
        <v>40</v>
      </c>
    </row>
    <row r="47" ht="14.25" spans="1:38">
      <c r="A47" s="20" t="s">
        <v>939</v>
      </c>
      <c r="B47" s="34">
        <v>0</v>
      </c>
      <c r="C47" s="34">
        <v>0</v>
      </c>
      <c r="D47" s="34">
        <v>0</v>
      </c>
      <c r="E47" s="34">
        <v>0</v>
      </c>
      <c r="F47" s="34"/>
      <c r="G47" s="34"/>
      <c r="H47" s="34"/>
      <c r="I47" s="34">
        <v>0</v>
      </c>
      <c r="J47" s="34">
        <v>0</v>
      </c>
      <c r="K47" s="34"/>
      <c r="L47" s="34"/>
      <c r="M47" s="34"/>
      <c r="N47" s="34"/>
      <c r="O47" s="34"/>
      <c r="P47" s="13">
        <v>0</v>
      </c>
      <c r="Q47" s="14"/>
      <c r="R47" s="14"/>
      <c r="S47" s="14"/>
      <c r="T47" s="14">
        <v>0</v>
      </c>
      <c r="U47" s="14">
        <v>0</v>
      </c>
      <c r="V47" s="14"/>
      <c r="W47" s="14"/>
      <c r="X47" s="14"/>
      <c r="Y47" s="14">
        <v>0</v>
      </c>
      <c r="Z47" s="14">
        <v>0</v>
      </c>
      <c r="AA47" s="14"/>
      <c r="AB47" s="14">
        <v>0</v>
      </c>
      <c r="AC47" s="14"/>
      <c r="AD47" s="14">
        <v>0</v>
      </c>
      <c r="AE47" s="14">
        <v>0</v>
      </c>
      <c r="AF47" s="14"/>
      <c r="AG47" s="14">
        <v>0</v>
      </c>
      <c r="AH47" s="14"/>
      <c r="AI47" s="14">
        <v>0</v>
      </c>
      <c r="AJ47" s="14">
        <v>0</v>
      </c>
      <c r="AK47" s="14">
        <v>0</v>
      </c>
      <c r="AL47" s="13">
        <f t="shared" si="0"/>
        <v>0</v>
      </c>
    </row>
    <row r="48" ht="14.25" spans="1:38">
      <c r="A48" s="30" t="s">
        <v>165</v>
      </c>
      <c r="B48" s="34">
        <v>0</v>
      </c>
      <c r="C48" s="34">
        <v>0</v>
      </c>
      <c r="D48" s="34">
        <v>0</v>
      </c>
      <c r="E48" s="34">
        <v>0</v>
      </c>
      <c r="F48" s="34"/>
      <c r="G48" s="34"/>
      <c r="H48" s="34"/>
      <c r="I48" s="34">
        <v>0</v>
      </c>
      <c r="J48" s="34">
        <v>0</v>
      </c>
      <c r="K48" s="34"/>
      <c r="L48" s="34"/>
      <c r="M48" s="34"/>
      <c r="N48" s="34"/>
      <c r="O48" s="34"/>
      <c r="P48" s="13">
        <v>0</v>
      </c>
      <c r="Q48" s="14"/>
      <c r="R48" s="14"/>
      <c r="S48" s="14"/>
      <c r="T48" s="14">
        <v>0</v>
      </c>
      <c r="U48" s="14">
        <v>0</v>
      </c>
      <c r="V48" s="14"/>
      <c r="W48" s="14"/>
      <c r="X48" s="14"/>
      <c r="Y48" s="14">
        <v>8</v>
      </c>
      <c r="Z48" s="14">
        <v>340</v>
      </c>
      <c r="AA48" s="14"/>
      <c r="AB48" s="14">
        <v>0</v>
      </c>
      <c r="AC48" s="14"/>
      <c r="AD48" s="14">
        <v>0</v>
      </c>
      <c r="AE48" s="14">
        <v>0</v>
      </c>
      <c r="AF48" s="14"/>
      <c r="AG48" s="14">
        <v>0</v>
      </c>
      <c r="AH48" s="14"/>
      <c r="AI48" s="14">
        <v>0</v>
      </c>
      <c r="AJ48" s="14">
        <v>100</v>
      </c>
      <c r="AK48" s="14">
        <v>16</v>
      </c>
      <c r="AL48" s="25">
        <f t="shared" si="0"/>
        <v>464</v>
      </c>
    </row>
    <row r="49" ht="14.25" spans="1:38">
      <c r="A49" s="30" t="s">
        <v>168</v>
      </c>
      <c r="B49" s="34">
        <v>0</v>
      </c>
      <c r="C49" s="34">
        <v>0</v>
      </c>
      <c r="D49" s="34">
        <v>0</v>
      </c>
      <c r="E49" s="34">
        <v>0</v>
      </c>
      <c r="F49" s="34"/>
      <c r="G49" s="34"/>
      <c r="H49" s="34"/>
      <c r="I49" s="34">
        <v>0</v>
      </c>
      <c r="J49" s="34">
        <v>0</v>
      </c>
      <c r="K49" s="34"/>
      <c r="L49" s="34"/>
      <c r="M49" s="34"/>
      <c r="N49" s="34"/>
      <c r="O49" s="34"/>
      <c r="P49" s="13">
        <v>18</v>
      </c>
      <c r="Q49" s="14"/>
      <c r="R49" s="14"/>
      <c r="S49" s="14"/>
      <c r="T49" s="14">
        <v>0</v>
      </c>
      <c r="U49" s="14">
        <v>0</v>
      </c>
      <c r="V49" s="14"/>
      <c r="W49" s="14"/>
      <c r="X49" s="14"/>
      <c r="Y49" s="14">
        <v>0</v>
      </c>
      <c r="Z49" s="14">
        <v>356</v>
      </c>
      <c r="AA49" s="14"/>
      <c r="AB49" s="14">
        <v>0</v>
      </c>
      <c r="AC49" s="14"/>
      <c r="AD49" s="14">
        <v>0</v>
      </c>
      <c r="AE49" s="14">
        <v>0</v>
      </c>
      <c r="AF49" s="14"/>
      <c r="AG49" s="14">
        <v>0</v>
      </c>
      <c r="AH49" s="14"/>
      <c r="AI49" s="14">
        <v>0</v>
      </c>
      <c r="AJ49" s="14">
        <v>100</v>
      </c>
      <c r="AK49" s="14">
        <v>16</v>
      </c>
      <c r="AL49" s="13">
        <f t="shared" si="0"/>
        <v>490</v>
      </c>
    </row>
    <row r="50" ht="14.25" spans="1:38">
      <c r="A50" s="30" t="s">
        <v>170</v>
      </c>
      <c r="B50" s="34">
        <v>0</v>
      </c>
      <c r="C50" s="34">
        <v>0</v>
      </c>
      <c r="D50" s="34">
        <v>0</v>
      </c>
      <c r="E50" s="34">
        <v>0</v>
      </c>
      <c r="F50" s="34"/>
      <c r="G50" s="34"/>
      <c r="H50" s="34"/>
      <c r="I50" s="34">
        <v>0</v>
      </c>
      <c r="J50" s="34">
        <v>0</v>
      </c>
      <c r="K50" s="34"/>
      <c r="L50" s="34"/>
      <c r="M50" s="34"/>
      <c r="N50" s="34"/>
      <c r="O50" s="34"/>
      <c r="P50" s="13">
        <v>0</v>
      </c>
      <c r="Q50" s="14"/>
      <c r="R50" s="14"/>
      <c r="S50" s="14"/>
      <c r="T50" s="14">
        <v>0</v>
      </c>
      <c r="U50" s="14">
        <v>0</v>
      </c>
      <c r="V50" s="14"/>
      <c r="W50" s="14"/>
      <c r="X50" s="14"/>
      <c r="Y50" s="14">
        <v>0</v>
      </c>
      <c r="Z50" s="14">
        <v>680</v>
      </c>
      <c r="AA50" s="14"/>
      <c r="AB50" s="14">
        <v>45</v>
      </c>
      <c r="AC50" s="14"/>
      <c r="AD50" s="14">
        <v>0</v>
      </c>
      <c r="AE50" s="14">
        <v>0</v>
      </c>
      <c r="AF50" s="14"/>
      <c r="AG50" s="14">
        <v>0</v>
      </c>
      <c r="AH50" s="14"/>
      <c r="AI50" s="14">
        <v>9</v>
      </c>
      <c r="AJ50" s="14">
        <v>200</v>
      </c>
      <c r="AK50" s="14">
        <v>16</v>
      </c>
      <c r="AL50" s="25">
        <f t="shared" si="0"/>
        <v>950</v>
      </c>
    </row>
    <row r="51" ht="14.25" spans="1:38">
      <c r="A51" s="30" t="s">
        <v>172</v>
      </c>
      <c r="B51" s="34">
        <v>0</v>
      </c>
      <c r="C51" s="34">
        <v>0</v>
      </c>
      <c r="D51" s="34">
        <v>0</v>
      </c>
      <c r="E51" s="34">
        <v>0</v>
      </c>
      <c r="F51" s="34"/>
      <c r="G51" s="34"/>
      <c r="H51" s="34"/>
      <c r="I51" s="34">
        <v>0</v>
      </c>
      <c r="J51" s="34">
        <v>0</v>
      </c>
      <c r="K51" s="34"/>
      <c r="L51" s="34"/>
      <c r="M51" s="34"/>
      <c r="N51" s="34"/>
      <c r="O51" s="34"/>
      <c r="P51" s="13">
        <v>0</v>
      </c>
      <c r="Q51" s="14"/>
      <c r="R51" s="14"/>
      <c r="S51" s="14"/>
      <c r="T51" s="14">
        <v>0</v>
      </c>
      <c r="U51" s="14">
        <v>0</v>
      </c>
      <c r="V51" s="14"/>
      <c r="W51" s="14"/>
      <c r="X51" s="14"/>
      <c r="Y51" s="14">
        <v>0</v>
      </c>
      <c r="Z51" s="14">
        <v>612</v>
      </c>
      <c r="AA51" s="14"/>
      <c r="AB51" s="14">
        <v>0</v>
      </c>
      <c r="AC51" s="14"/>
      <c r="AD51" s="14">
        <v>0</v>
      </c>
      <c r="AE51" s="14">
        <v>0</v>
      </c>
      <c r="AF51" s="14"/>
      <c r="AG51" s="14">
        <v>0</v>
      </c>
      <c r="AH51" s="14"/>
      <c r="AI51" s="14">
        <v>0</v>
      </c>
      <c r="AJ51" s="14">
        <v>180</v>
      </c>
      <c r="AK51" s="14">
        <v>2.4</v>
      </c>
      <c r="AL51" s="25">
        <f t="shared" si="0"/>
        <v>794.4</v>
      </c>
    </row>
    <row r="52" ht="14.25" spans="1:38">
      <c r="A52" s="20" t="s">
        <v>174</v>
      </c>
      <c r="B52" s="34">
        <v>12</v>
      </c>
      <c r="C52" s="34">
        <v>0</v>
      </c>
      <c r="D52" s="34">
        <v>0</v>
      </c>
      <c r="E52" s="34">
        <v>0</v>
      </c>
      <c r="F52" s="34"/>
      <c r="G52" s="34"/>
      <c r="H52" s="34"/>
      <c r="I52" s="34">
        <v>0</v>
      </c>
      <c r="J52" s="34">
        <v>0</v>
      </c>
      <c r="K52" s="34"/>
      <c r="L52" s="34"/>
      <c r="M52" s="34"/>
      <c r="N52" s="34"/>
      <c r="O52" s="34"/>
      <c r="P52" s="13">
        <v>0</v>
      </c>
      <c r="Q52" s="14"/>
      <c r="R52" s="14"/>
      <c r="S52" s="14"/>
      <c r="T52" s="14">
        <v>0</v>
      </c>
      <c r="U52" s="14">
        <v>0</v>
      </c>
      <c r="V52" s="14"/>
      <c r="W52" s="14"/>
      <c r="X52" s="14"/>
      <c r="Y52" s="14">
        <v>0</v>
      </c>
      <c r="Z52" s="14">
        <v>0</v>
      </c>
      <c r="AA52" s="14"/>
      <c r="AB52" s="14">
        <v>0</v>
      </c>
      <c r="AC52" s="14"/>
      <c r="AD52" s="14">
        <v>13</v>
      </c>
      <c r="AE52" s="14">
        <v>0</v>
      </c>
      <c r="AF52" s="14"/>
      <c r="AG52" s="14">
        <v>0</v>
      </c>
      <c r="AH52" s="14"/>
      <c r="AI52" s="14">
        <v>0</v>
      </c>
      <c r="AJ52" s="14">
        <v>0</v>
      </c>
      <c r="AK52" s="14">
        <v>0</v>
      </c>
      <c r="AL52" s="13">
        <f t="shared" si="0"/>
        <v>25</v>
      </c>
    </row>
    <row r="53" ht="14.25" spans="1:38">
      <c r="A53" s="36" t="s">
        <v>110</v>
      </c>
      <c r="B53" s="34">
        <v>0</v>
      </c>
      <c r="C53" s="34">
        <v>0</v>
      </c>
      <c r="D53" s="34">
        <v>0</v>
      </c>
      <c r="E53" s="34">
        <v>0</v>
      </c>
      <c r="F53" s="34"/>
      <c r="G53" s="34"/>
      <c r="H53" s="34"/>
      <c r="I53" s="34">
        <v>0</v>
      </c>
      <c r="J53" s="34">
        <v>0</v>
      </c>
      <c r="K53" s="34"/>
      <c r="L53" s="34"/>
      <c r="M53" s="34"/>
      <c r="N53" s="34"/>
      <c r="O53" s="34"/>
      <c r="P53" s="13">
        <v>0.3</v>
      </c>
      <c r="Q53" s="14"/>
      <c r="R53" s="14"/>
      <c r="S53" s="14"/>
      <c r="T53" s="14">
        <v>0.12</v>
      </c>
      <c r="U53" s="14">
        <v>0.137</v>
      </c>
      <c r="V53" s="14"/>
      <c r="W53" s="14"/>
      <c r="X53" s="14"/>
      <c r="Y53" s="14">
        <v>0</v>
      </c>
      <c r="Z53" s="14">
        <v>0</v>
      </c>
      <c r="AA53" s="14"/>
      <c r="AB53" s="14">
        <v>0</v>
      </c>
      <c r="AC53" s="14"/>
      <c r="AD53" s="14">
        <v>0</v>
      </c>
      <c r="AE53" s="14">
        <v>0</v>
      </c>
      <c r="AF53" s="14"/>
      <c r="AG53" s="14">
        <v>0</v>
      </c>
      <c r="AH53" s="14"/>
      <c r="AI53" s="14">
        <v>0</v>
      </c>
      <c r="AJ53" s="14">
        <v>0</v>
      </c>
      <c r="AK53" s="14">
        <v>0</v>
      </c>
      <c r="AL53" s="13">
        <f t="shared" si="0"/>
        <v>0.557</v>
      </c>
    </row>
    <row r="54" ht="14.25" spans="1:38">
      <c r="A54" s="37" t="s">
        <v>263</v>
      </c>
      <c r="B54" s="34">
        <v>0</v>
      </c>
      <c r="C54" s="34">
        <v>0</v>
      </c>
      <c r="D54" s="34">
        <v>0</v>
      </c>
      <c r="E54" s="34">
        <v>0</v>
      </c>
      <c r="F54" s="34"/>
      <c r="G54" s="34"/>
      <c r="H54" s="34"/>
      <c r="I54" s="34">
        <v>0</v>
      </c>
      <c r="J54" s="34">
        <v>0</v>
      </c>
      <c r="K54" s="34"/>
      <c r="L54" s="34"/>
      <c r="M54" s="34"/>
      <c r="N54" s="34"/>
      <c r="O54" s="34"/>
      <c r="P54" s="13">
        <v>30</v>
      </c>
      <c r="Q54" s="14"/>
      <c r="R54" s="14"/>
      <c r="S54" s="14"/>
      <c r="T54" s="14">
        <v>0</v>
      </c>
      <c r="U54" s="14">
        <v>0</v>
      </c>
      <c r="V54" s="14"/>
      <c r="W54" s="14"/>
      <c r="X54" s="14"/>
      <c r="Y54" s="14">
        <v>44.4</v>
      </c>
      <c r="Z54" s="14">
        <v>1396</v>
      </c>
      <c r="AA54" s="14"/>
      <c r="AB54" s="14">
        <v>445</v>
      </c>
      <c r="AC54" s="14"/>
      <c r="AD54" s="14">
        <v>0</v>
      </c>
      <c r="AE54" s="14">
        <v>0</v>
      </c>
      <c r="AF54" s="14"/>
      <c r="AG54" s="14">
        <v>0</v>
      </c>
      <c r="AH54" s="14"/>
      <c r="AI54" s="14">
        <v>89</v>
      </c>
      <c r="AJ54" s="14">
        <v>342</v>
      </c>
      <c r="AK54" s="14">
        <v>0</v>
      </c>
      <c r="AL54" s="13">
        <f t="shared" si="0"/>
        <v>2346.4</v>
      </c>
    </row>
    <row r="55" ht="14.25" spans="1:38">
      <c r="A55" s="38" t="s">
        <v>940</v>
      </c>
      <c r="B55" s="34">
        <v>0</v>
      </c>
      <c r="C55" s="34">
        <v>0</v>
      </c>
      <c r="D55" s="34">
        <v>0</v>
      </c>
      <c r="E55" s="34">
        <v>0</v>
      </c>
      <c r="F55" s="34"/>
      <c r="G55" s="34"/>
      <c r="H55" s="34"/>
      <c r="I55" s="34">
        <v>0</v>
      </c>
      <c r="J55" s="34">
        <v>0</v>
      </c>
      <c r="K55" s="34"/>
      <c r="L55" s="34"/>
      <c r="M55" s="34"/>
      <c r="N55" s="34"/>
      <c r="O55" s="34"/>
      <c r="P55" s="13">
        <v>0</v>
      </c>
      <c r="Q55" s="14"/>
      <c r="R55" s="14"/>
      <c r="S55" s="14"/>
      <c r="T55" s="14">
        <v>0</v>
      </c>
      <c r="U55" s="14">
        <v>0</v>
      </c>
      <c r="V55" s="14"/>
      <c r="W55" s="14"/>
      <c r="X55" s="14"/>
      <c r="Y55" s="14">
        <v>0</v>
      </c>
      <c r="Z55" s="14">
        <v>0</v>
      </c>
      <c r="AA55" s="14"/>
      <c r="AB55" s="14">
        <v>0</v>
      </c>
      <c r="AC55" s="14"/>
      <c r="AD55" s="14">
        <v>0</v>
      </c>
      <c r="AE55" s="14">
        <v>0</v>
      </c>
      <c r="AF55" s="14"/>
      <c r="AG55" s="14">
        <v>0</v>
      </c>
      <c r="AH55" s="14"/>
      <c r="AI55" s="14">
        <v>0</v>
      </c>
      <c r="AJ55" s="14">
        <v>0</v>
      </c>
      <c r="AK55" s="14">
        <v>0</v>
      </c>
      <c r="AL55" s="13">
        <f t="shared" si="0"/>
        <v>0</v>
      </c>
    </row>
    <row r="56" ht="14.25" spans="1:38">
      <c r="A56" s="39" t="s">
        <v>941</v>
      </c>
      <c r="B56" s="34">
        <v>0</v>
      </c>
      <c r="C56" s="34">
        <v>0</v>
      </c>
      <c r="D56" s="34">
        <v>0</v>
      </c>
      <c r="E56" s="34">
        <v>0</v>
      </c>
      <c r="F56" s="34"/>
      <c r="G56" s="34"/>
      <c r="H56" s="34"/>
      <c r="I56" s="34">
        <v>0</v>
      </c>
      <c r="J56" s="34">
        <v>0</v>
      </c>
      <c r="K56" s="34"/>
      <c r="L56" s="34"/>
      <c r="M56" s="34"/>
      <c r="N56" s="34"/>
      <c r="O56" s="34"/>
      <c r="P56" s="13">
        <v>0</v>
      </c>
      <c r="Q56" s="14"/>
      <c r="R56" s="14"/>
      <c r="S56" s="14"/>
      <c r="T56" s="14">
        <v>0</v>
      </c>
      <c r="U56" s="14">
        <v>0</v>
      </c>
      <c r="V56" s="14"/>
      <c r="W56" s="14"/>
      <c r="X56" s="14"/>
      <c r="Y56" s="14">
        <v>0</v>
      </c>
      <c r="Z56" s="14">
        <v>0</v>
      </c>
      <c r="AA56" s="14"/>
      <c r="AB56" s="14">
        <v>0</v>
      </c>
      <c r="AC56" s="14"/>
      <c r="AD56" s="14">
        <v>0</v>
      </c>
      <c r="AE56" s="14">
        <v>0</v>
      </c>
      <c r="AF56" s="14"/>
      <c r="AG56" s="14">
        <v>0</v>
      </c>
      <c r="AH56" s="14"/>
      <c r="AI56" s="14">
        <v>0</v>
      </c>
      <c r="AJ56" s="14">
        <v>0</v>
      </c>
      <c r="AK56" s="14">
        <v>0</v>
      </c>
      <c r="AL56" s="13">
        <f t="shared" si="0"/>
        <v>0</v>
      </c>
    </row>
    <row r="57" ht="14.25" spans="1:38">
      <c r="A57" s="39" t="s">
        <v>942</v>
      </c>
      <c r="B57" s="34">
        <v>0</v>
      </c>
      <c r="C57" s="34">
        <v>0</v>
      </c>
      <c r="D57" s="34">
        <v>0</v>
      </c>
      <c r="E57" s="34">
        <v>0</v>
      </c>
      <c r="F57" s="34"/>
      <c r="G57" s="34"/>
      <c r="H57" s="34"/>
      <c r="I57" s="34">
        <v>0</v>
      </c>
      <c r="J57" s="34">
        <v>0</v>
      </c>
      <c r="K57" s="34"/>
      <c r="L57" s="34"/>
      <c r="M57" s="34"/>
      <c r="N57" s="34"/>
      <c r="O57" s="34"/>
      <c r="P57" s="13">
        <v>0</v>
      </c>
      <c r="Q57" s="14"/>
      <c r="R57" s="14"/>
      <c r="S57" s="14"/>
      <c r="T57" s="14">
        <v>0</v>
      </c>
      <c r="U57" s="14">
        <v>0</v>
      </c>
      <c r="V57" s="14"/>
      <c r="W57" s="14"/>
      <c r="X57" s="14"/>
      <c r="Y57" s="14">
        <v>0</v>
      </c>
      <c r="Z57" s="14">
        <v>0</v>
      </c>
      <c r="AA57" s="14"/>
      <c r="AB57" s="14">
        <v>0</v>
      </c>
      <c r="AC57" s="14"/>
      <c r="AD57" s="14">
        <v>0</v>
      </c>
      <c r="AE57" s="14">
        <v>0</v>
      </c>
      <c r="AF57" s="14"/>
      <c r="AG57" s="14">
        <v>0</v>
      </c>
      <c r="AH57" s="14"/>
      <c r="AI57" s="14">
        <v>0</v>
      </c>
      <c r="AJ57" s="14">
        <v>0</v>
      </c>
      <c r="AK57" s="14">
        <v>0</v>
      </c>
      <c r="AL57" s="13">
        <f t="shared" si="0"/>
        <v>0</v>
      </c>
    </row>
    <row r="58" ht="14.25" spans="1:38">
      <c r="A58" s="20" t="s">
        <v>127</v>
      </c>
      <c r="B58" s="34">
        <v>960</v>
      </c>
      <c r="C58" s="34">
        <v>0</v>
      </c>
      <c r="D58" s="34">
        <v>0</v>
      </c>
      <c r="E58" s="34">
        <v>0</v>
      </c>
      <c r="F58" s="34"/>
      <c r="G58" s="34"/>
      <c r="H58" s="34"/>
      <c r="I58" s="34">
        <v>640</v>
      </c>
      <c r="J58" s="34">
        <v>40</v>
      </c>
      <c r="K58" s="34"/>
      <c r="L58" s="34"/>
      <c r="M58" s="34"/>
      <c r="N58" s="34"/>
      <c r="O58" s="34"/>
      <c r="P58" s="13">
        <v>210</v>
      </c>
      <c r="Q58" s="14"/>
      <c r="R58" s="14"/>
      <c r="S58" s="14"/>
      <c r="T58" s="14">
        <v>0</v>
      </c>
      <c r="U58" s="14">
        <v>0</v>
      </c>
      <c r="V58" s="14"/>
      <c r="W58" s="14"/>
      <c r="X58" s="14"/>
      <c r="Y58" s="14">
        <v>0</v>
      </c>
      <c r="Z58" s="14">
        <v>0</v>
      </c>
      <c r="AA58" s="14"/>
      <c r="AB58" s="14">
        <v>0</v>
      </c>
      <c r="AC58" s="14"/>
      <c r="AD58" s="14">
        <v>0</v>
      </c>
      <c r="AE58" s="14">
        <v>0</v>
      </c>
      <c r="AF58" s="14"/>
      <c r="AG58" s="14">
        <v>0</v>
      </c>
      <c r="AH58" s="14"/>
      <c r="AI58" s="14">
        <v>0</v>
      </c>
      <c r="AJ58" s="14">
        <v>0</v>
      </c>
      <c r="AK58" s="14">
        <v>0</v>
      </c>
      <c r="AL58" s="25">
        <f t="shared" si="0"/>
        <v>1850</v>
      </c>
    </row>
    <row r="59" ht="14.25" spans="1:38">
      <c r="A59" s="30" t="s">
        <v>943</v>
      </c>
      <c r="B59" s="34">
        <v>0</v>
      </c>
      <c r="C59" s="34">
        <v>0</v>
      </c>
      <c r="D59" s="34">
        <v>0</v>
      </c>
      <c r="E59" s="34">
        <v>0</v>
      </c>
      <c r="F59" s="34"/>
      <c r="G59" s="34"/>
      <c r="H59" s="34"/>
      <c r="I59" s="34">
        <v>0</v>
      </c>
      <c r="J59" s="34">
        <v>0</v>
      </c>
      <c r="K59" s="34"/>
      <c r="L59" s="34"/>
      <c r="M59" s="34"/>
      <c r="N59" s="34"/>
      <c r="O59" s="34"/>
      <c r="P59" s="13">
        <v>0</v>
      </c>
      <c r="Q59" s="14"/>
      <c r="R59" s="14"/>
      <c r="S59" s="14"/>
      <c r="T59" s="14">
        <v>0</v>
      </c>
      <c r="U59" s="14">
        <v>0</v>
      </c>
      <c r="V59" s="14"/>
      <c r="W59" s="14"/>
      <c r="X59" s="14"/>
      <c r="Y59" s="14">
        <v>0</v>
      </c>
      <c r="Z59" s="14">
        <v>0</v>
      </c>
      <c r="AA59" s="14"/>
      <c r="AB59" s="14">
        <v>0</v>
      </c>
      <c r="AC59" s="14"/>
      <c r="AD59" s="14">
        <v>0</v>
      </c>
      <c r="AE59" s="14">
        <v>0</v>
      </c>
      <c r="AF59" s="14"/>
      <c r="AG59" s="14">
        <v>0</v>
      </c>
      <c r="AH59" s="14"/>
      <c r="AI59" s="14">
        <v>0</v>
      </c>
      <c r="AJ59" s="14">
        <v>0</v>
      </c>
      <c r="AK59" s="14">
        <v>0</v>
      </c>
      <c r="AL59" s="13">
        <f t="shared" si="0"/>
        <v>0</v>
      </c>
    </row>
    <row r="60" ht="14.25" spans="1:38">
      <c r="A60" s="30" t="s">
        <v>122</v>
      </c>
      <c r="B60" s="34">
        <v>0</v>
      </c>
      <c r="C60" s="34">
        <v>0</v>
      </c>
      <c r="D60" s="34">
        <v>0</v>
      </c>
      <c r="E60" s="34">
        <v>0</v>
      </c>
      <c r="F60" s="34"/>
      <c r="G60" s="34"/>
      <c r="H60" s="34"/>
      <c r="I60" s="34">
        <v>0</v>
      </c>
      <c r="J60" s="34">
        <v>0</v>
      </c>
      <c r="K60" s="34"/>
      <c r="L60" s="34"/>
      <c r="M60" s="34"/>
      <c r="N60" s="34"/>
      <c r="O60" s="34"/>
      <c r="P60" s="13">
        <v>0</v>
      </c>
      <c r="Q60" s="14"/>
      <c r="R60" s="14"/>
      <c r="S60" s="14"/>
      <c r="T60" s="14">
        <v>2.1</v>
      </c>
      <c r="U60" s="14">
        <v>21</v>
      </c>
      <c r="V60" s="14"/>
      <c r="W60" s="14"/>
      <c r="X60" s="14"/>
      <c r="Y60" s="14">
        <v>5.6</v>
      </c>
      <c r="Z60" s="14">
        <v>576</v>
      </c>
      <c r="AA60" s="14"/>
      <c r="AB60" s="14">
        <v>15</v>
      </c>
      <c r="AC60" s="14"/>
      <c r="AD60" s="14">
        <v>0</v>
      </c>
      <c r="AE60" s="14">
        <v>0</v>
      </c>
      <c r="AF60" s="14"/>
      <c r="AG60" s="14">
        <v>11.9</v>
      </c>
      <c r="AH60" s="14"/>
      <c r="AI60" s="14">
        <v>3</v>
      </c>
      <c r="AJ60" s="14">
        <v>180</v>
      </c>
      <c r="AK60" s="14">
        <v>48</v>
      </c>
      <c r="AL60" s="25">
        <f t="shared" si="0"/>
        <v>862.6</v>
      </c>
    </row>
    <row r="61" ht="14.25" spans="1:38">
      <c r="A61" s="30" t="s">
        <v>201</v>
      </c>
      <c r="B61" s="34">
        <v>0</v>
      </c>
      <c r="C61" s="34">
        <v>0</v>
      </c>
      <c r="D61" s="34">
        <v>0</v>
      </c>
      <c r="E61" s="34">
        <v>0</v>
      </c>
      <c r="F61" s="34"/>
      <c r="G61" s="34"/>
      <c r="H61" s="34"/>
      <c r="I61" s="34">
        <v>0</v>
      </c>
      <c r="J61" s="34">
        <v>0</v>
      </c>
      <c r="K61" s="34"/>
      <c r="L61" s="34"/>
      <c r="M61" s="34"/>
      <c r="N61" s="34"/>
      <c r="O61" s="34"/>
      <c r="P61" s="13">
        <v>0</v>
      </c>
      <c r="Q61" s="14"/>
      <c r="R61" s="14"/>
      <c r="S61" s="14"/>
      <c r="T61" s="14">
        <v>0</v>
      </c>
      <c r="U61" s="14">
        <v>0</v>
      </c>
      <c r="V61" s="14"/>
      <c r="W61" s="14"/>
      <c r="X61" s="14"/>
      <c r="Y61" s="14">
        <v>0.4</v>
      </c>
      <c r="Z61" s="14">
        <v>0</v>
      </c>
      <c r="AA61" s="14"/>
      <c r="AB61" s="14">
        <v>0</v>
      </c>
      <c r="AC61" s="14"/>
      <c r="AD61" s="14">
        <v>0</v>
      </c>
      <c r="AE61" s="14">
        <v>0</v>
      </c>
      <c r="AF61" s="14"/>
      <c r="AG61" s="14">
        <v>0</v>
      </c>
      <c r="AH61" s="14"/>
      <c r="AI61" s="14">
        <v>0</v>
      </c>
      <c r="AJ61" s="14">
        <v>0</v>
      </c>
      <c r="AK61" s="14">
        <v>0.8</v>
      </c>
      <c r="AL61" s="25">
        <f t="shared" si="0"/>
        <v>1.2</v>
      </c>
    </row>
    <row r="62" ht="14.25" spans="1:38">
      <c r="A62" s="30" t="s">
        <v>203</v>
      </c>
      <c r="B62" s="34">
        <v>0</v>
      </c>
      <c r="C62" s="34">
        <v>0</v>
      </c>
      <c r="D62" s="34">
        <v>0</v>
      </c>
      <c r="E62" s="34">
        <v>0</v>
      </c>
      <c r="F62" s="34"/>
      <c r="G62" s="34"/>
      <c r="H62" s="34"/>
      <c r="I62" s="34">
        <v>0</v>
      </c>
      <c r="J62" s="34">
        <v>0</v>
      </c>
      <c r="K62" s="34"/>
      <c r="L62" s="34"/>
      <c r="M62" s="34"/>
      <c r="N62" s="34"/>
      <c r="O62" s="34"/>
      <c r="P62" s="13">
        <v>0</v>
      </c>
      <c r="Q62" s="14"/>
      <c r="R62" s="14"/>
      <c r="S62" s="14"/>
      <c r="T62" s="14">
        <v>0</v>
      </c>
      <c r="U62" s="14">
        <v>0</v>
      </c>
      <c r="V62" s="14"/>
      <c r="W62" s="14"/>
      <c r="X62" s="14"/>
      <c r="Y62" s="14">
        <v>6</v>
      </c>
      <c r="Z62" s="14">
        <v>102</v>
      </c>
      <c r="AA62" s="14"/>
      <c r="AB62" s="14">
        <v>0</v>
      </c>
      <c r="AC62" s="14"/>
      <c r="AD62" s="14">
        <v>0</v>
      </c>
      <c r="AE62" s="14">
        <v>0</v>
      </c>
      <c r="AF62" s="14"/>
      <c r="AG62" s="14">
        <v>0</v>
      </c>
      <c r="AH62" s="14"/>
      <c r="AI62" s="14">
        <v>0</v>
      </c>
      <c r="AJ62" s="14">
        <v>30</v>
      </c>
      <c r="AK62" s="14">
        <v>12</v>
      </c>
      <c r="AL62" s="25">
        <f t="shared" si="0"/>
        <v>150</v>
      </c>
    </row>
    <row r="63" ht="14.25" spans="1:38">
      <c r="A63" s="30" t="s">
        <v>205</v>
      </c>
      <c r="B63" s="34">
        <v>0</v>
      </c>
      <c r="C63" s="34">
        <v>0</v>
      </c>
      <c r="D63" s="34">
        <v>0</v>
      </c>
      <c r="E63" s="34">
        <v>0</v>
      </c>
      <c r="F63" s="34"/>
      <c r="G63" s="34"/>
      <c r="H63" s="34"/>
      <c r="I63" s="34">
        <v>0</v>
      </c>
      <c r="J63" s="34">
        <v>0</v>
      </c>
      <c r="K63" s="34"/>
      <c r="L63" s="34"/>
      <c r="M63" s="34"/>
      <c r="N63" s="34"/>
      <c r="O63" s="34"/>
      <c r="P63" s="13">
        <v>0</v>
      </c>
      <c r="Q63" s="14"/>
      <c r="R63" s="14"/>
      <c r="S63" s="14"/>
      <c r="T63" s="14">
        <v>0</v>
      </c>
      <c r="U63" s="14">
        <v>0</v>
      </c>
      <c r="V63" s="14"/>
      <c r="W63" s="14"/>
      <c r="X63" s="14"/>
      <c r="Y63" s="14">
        <v>2</v>
      </c>
      <c r="Z63" s="14">
        <v>170</v>
      </c>
      <c r="AA63" s="14"/>
      <c r="AB63" s="14">
        <v>0</v>
      </c>
      <c r="AC63" s="14"/>
      <c r="AD63" s="14">
        <v>0</v>
      </c>
      <c r="AE63" s="14">
        <v>0</v>
      </c>
      <c r="AF63" s="14"/>
      <c r="AG63" s="14">
        <v>0</v>
      </c>
      <c r="AH63" s="14"/>
      <c r="AI63" s="14">
        <v>0</v>
      </c>
      <c r="AJ63" s="14">
        <v>50</v>
      </c>
      <c r="AK63" s="14">
        <v>4</v>
      </c>
      <c r="AL63" s="25">
        <f t="shared" si="0"/>
        <v>226</v>
      </c>
    </row>
    <row r="64" ht="14.25" spans="1:38">
      <c r="A64" s="30" t="s">
        <v>207</v>
      </c>
      <c r="B64" s="34">
        <v>0</v>
      </c>
      <c r="C64" s="34">
        <v>0</v>
      </c>
      <c r="D64" s="34">
        <v>0</v>
      </c>
      <c r="E64" s="34">
        <v>0</v>
      </c>
      <c r="F64" s="34"/>
      <c r="G64" s="34"/>
      <c r="H64" s="34"/>
      <c r="I64" s="34">
        <v>0</v>
      </c>
      <c r="J64" s="34">
        <v>0</v>
      </c>
      <c r="K64" s="34"/>
      <c r="L64" s="34"/>
      <c r="M64" s="34"/>
      <c r="N64" s="34"/>
      <c r="O64" s="34"/>
      <c r="P64" s="13">
        <v>0</v>
      </c>
      <c r="Q64" s="14"/>
      <c r="R64" s="14"/>
      <c r="S64" s="14"/>
      <c r="T64" s="14">
        <v>0</v>
      </c>
      <c r="U64" s="14">
        <v>0</v>
      </c>
      <c r="V64" s="14"/>
      <c r="W64" s="14"/>
      <c r="X64" s="14"/>
      <c r="Y64" s="14">
        <v>4</v>
      </c>
      <c r="Z64" s="14">
        <v>136</v>
      </c>
      <c r="AA64" s="14"/>
      <c r="AB64" s="14">
        <v>0</v>
      </c>
      <c r="AC64" s="14"/>
      <c r="AD64" s="14">
        <v>0</v>
      </c>
      <c r="AE64" s="14">
        <v>0</v>
      </c>
      <c r="AF64" s="14"/>
      <c r="AG64" s="14">
        <v>0</v>
      </c>
      <c r="AH64" s="14"/>
      <c r="AI64" s="14">
        <v>0</v>
      </c>
      <c r="AJ64" s="14">
        <v>40</v>
      </c>
      <c r="AK64" s="14">
        <v>8</v>
      </c>
      <c r="AL64" s="25">
        <f t="shared" si="0"/>
        <v>188</v>
      </c>
    </row>
    <row r="65" ht="14.25" spans="1:38">
      <c r="A65" s="30" t="s">
        <v>210</v>
      </c>
      <c r="B65" s="34">
        <v>0</v>
      </c>
      <c r="C65" s="34">
        <v>0</v>
      </c>
      <c r="D65" s="34">
        <v>0</v>
      </c>
      <c r="E65" s="34">
        <v>0</v>
      </c>
      <c r="F65" s="34"/>
      <c r="G65" s="34"/>
      <c r="H65" s="34"/>
      <c r="I65" s="34">
        <v>0</v>
      </c>
      <c r="J65" s="34">
        <v>0</v>
      </c>
      <c r="K65" s="34"/>
      <c r="L65" s="34"/>
      <c r="M65" s="34"/>
      <c r="N65" s="34"/>
      <c r="O65" s="34"/>
      <c r="P65" s="13">
        <v>0</v>
      </c>
      <c r="Q65" s="14"/>
      <c r="R65" s="14"/>
      <c r="S65" s="14"/>
      <c r="T65" s="14">
        <v>0</v>
      </c>
      <c r="U65" s="14">
        <v>0</v>
      </c>
      <c r="V65" s="14"/>
      <c r="W65" s="14"/>
      <c r="X65" s="14"/>
      <c r="Y65" s="14">
        <v>0</v>
      </c>
      <c r="Z65" s="14">
        <v>408</v>
      </c>
      <c r="AA65" s="14"/>
      <c r="AB65" s="14">
        <v>0</v>
      </c>
      <c r="AC65" s="14"/>
      <c r="AD65" s="14">
        <v>0</v>
      </c>
      <c r="AE65" s="14">
        <v>0</v>
      </c>
      <c r="AF65" s="14"/>
      <c r="AG65" s="14">
        <v>0</v>
      </c>
      <c r="AH65" s="14"/>
      <c r="AI65" s="14">
        <v>0</v>
      </c>
      <c r="AJ65" s="14">
        <v>120</v>
      </c>
      <c r="AK65" s="14">
        <v>16</v>
      </c>
      <c r="AL65" s="25">
        <f t="shared" si="0"/>
        <v>544</v>
      </c>
    </row>
    <row r="66" ht="14.25" spans="1:38">
      <c r="A66" s="30" t="s">
        <v>197</v>
      </c>
      <c r="B66" s="34">
        <v>0</v>
      </c>
      <c r="C66" s="34">
        <v>0</v>
      </c>
      <c r="D66" s="34">
        <v>0</v>
      </c>
      <c r="E66" s="34">
        <v>0</v>
      </c>
      <c r="F66" s="34"/>
      <c r="G66" s="34"/>
      <c r="H66" s="34"/>
      <c r="I66" s="34">
        <v>0</v>
      </c>
      <c r="J66" s="34">
        <v>0</v>
      </c>
      <c r="K66" s="34"/>
      <c r="L66" s="34"/>
      <c r="M66" s="34"/>
      <c r="N66" s="34"/>
      <c r="O66" s="34"/>
      <c r="P66" s="13">
        <v>0</v>
      </c>
      <c r="Q66" s="14"/>
      <c r="R66" s="14"/>
      <c r="S66" s="14"/>
      <c r="T66" s="14">
        <v>0</v>
      </c>
      <c r="U66" s="14">
        <v>0</v>
      </c>
      <c r="V66" s="14"/>
      <c r="W66" s="14"/>
      <c r="X66" s="14"/>
      <c r="Y66" s="14">
        <v>8</v>
      </c>
      <c r="Z66" s="14">
        <v>1208.7</v>
      </c>
      <c r="AA66" s="14"/>
      <c r="AB66" s="14">
        <v>375</v>
      </c>
      <c r="AC66" s="14"/>
      <c r="AD66" s="14">
        <v>0</v>
      </c>
      <c r="AE66" s="14">
        <v>0</v>
      </c>
      <c r="AF66" s="14"/>
      <c r="AG66" s="14">
        <v>0</v>
      </c>
      <c r="AH66" s="14"/>
      <c r="AI66" s="14">
        <v>75</v>
      </c>
      <c r="AJ66" s="14">
        <v>388.1</v>
      </c>
      <c r="AK66" s="14">
        <v>45.2</v>
      </c>
      <c r="AL66" s="13">
        <f t="shared" si="0"/>
        <v>2100</v>
      </c>
    </row>
    <row r="67" ht="14.25" spans="1:38">
      <c r="A67" s="30" t="s">
        <v>944</v>
      </c>
      <c r="B67" s="34">
        <v>0</v>
      </c>
      <c r="C67" s="34">
        <v>0</v>
      </c>
      <c r="D67" s="34">
        <v>0</v>
      </c>
      <c r="E67" s="34">
        <v>0</v>
      </c>
      <c r="F67" s="34"/>
      <c r="G67" s="34"/>
      <c r="H67" s="34"/>
      <c r="I67" s="34">
        <v>0</v>
      </c>
      <c r="J67" s="34">
        <v>0</v>
      </c>
      <c r="K67" s="34"/>
      <c r="L67" s="34"/>
      <c r="M67" s="34"/>
      <c r="N67" s="34"/>
      <c r="O67" s="34"/>
      <c r="P67" s="13">
        <v>0</v>
      </c>
      <c r="Q67" s="14"/>
      <c r="R67" s="14"/>
      <c r="S67" s="14"/>
      <c r="T67" s="14">
        <v>0</v>
      </c>
      <c r="U67" s="14">
        <v>0</v>
      </c>
      <c r="V67" s="14"/>
      <c r="W67" s="14"/>
      <c r="X67" s="14"/>
      <c r="Y67" s="14">
        <v>0</v>
      </c>
      <c r="Z67" s="14">
        <v>0</v>
      </c>
      <c r="AA67" s="14"/>
      <c r="AB67" s="14">
        <v>0</v>
      </c>
      <c r="AC67" s="14"/>
      <c r="AD67" s="14">
        <v>0</v>
      </c>
      <c r="AE67" s="14">
        <v>0</v>
      </c>
      <c r="AF67" s="14"/>
      <c r="AG67" s="14">
        <v>0</v>
      </c>
      <c r="AH67" s="14"/>
      <c r="AI67" s="14">
        <v>0</v>
      </c>
      <c r="AJ67" s="14">
        <v>0</v>
      </c>
      <c r="AK67" s="14">
        <v>0</v>
      </c>
      <c r="AL67" s="13">
        <f t="shared" ref="AL67:AL130" si="1">SUM(B67:AK67)</f>
        <v>0</v>
      </c>
    </row>
    <row r="68" ht="14.25" spans="1:38">
      <c r="A68" s="30" t="s">
        <v>945</v>
      </c>
      <c r="B68" s="34">
        <v>0</v>
      </c>
      <c r="C68" s="34">
        <v>0</v>
      </c>
      <c r="D68" s="34">
        <v>0</v>
      </c>
      <c r="E68" s="34">
        <v>0</v>
      </c>
      <c r="F68" s="34"/>
      <c r="G68" s="34"/>
      <c r="H68" s="34"/>
      <c r="I68" s="34">
        <v>0</v>
      </c>
      <c r="J68" s="34">
        <v>0</v>
      </c>
      <c r="K68" s="34"/>
      <c r="L68" s="34"/>
      <c r="M68" s="34"/>
      <c r="N68" s="34"/>
      <c r="O68" s="34"/>
      <c r="P68" s="13">
        <v>0</v>
      </c>
      <c r="Q68" s="14"/>
      <c r="R68" s="14"/>
      <c r="S68" s="14"/>
      <c r="T68" s="14">
        <v>0</v>
      </c>
      <c r="U68" s="14">
        <v>0</v>
      </c>
      <c r="V68" s="14"/>
      <c r="W68" s="14"/>
      <c r="X68" s="14"/>
      <c r="Y68" s="14">
        <v>0</v>
      </c>
      <c r="Z68" s="14">
        <v>0</v>
      </c>
      <c r="AA68" s="14"/>
      <c r="AB68" s="14">
        <v>0</v>
      </c>
      <c r="AC68" s="14"/>
      <c r="AD68" s="14">
        <v>0</v>
      </c>
      <c r="AE68" s="14">
        <v>0</v>
      </c>
      <c r="AF68" s="14"/>
      <c r="AG68" s="14">
        <v>0</v>
      </c>
      <c r="AH68" s="14"/>
      <c r="AI68" s="14">
        <v>0</v>
      </c>
      <c r="AJ68" s="14">
        <v>0</v>
      </c>
      <c r="AK68" s="14">
        <v>0</v>
      </c>
      <c r="AL68" s="13">
        <f t="shared" si="1"/>
        <v>0</v>
      </c>
    </row>
    <row r="69" ht="14.25" spans="1:38">
      <c r="A69" s="30" t="s">
        <v>185</v>
      </c>
      <c r="B69" s="34">
        <v>0</v>
      </c>
      <c r="C69" s="34">
        <v>0</v>
      </c>
      <c r="D69" s="34">
        <v>0</v>
      </c>
      <c r="E69" s="34">
        <v>0</v>
      </c>
      <c r="F69" s="34"/>
      <c r="G69" s="34"/>
      <c r="H69" s="34"/>
      <c r="I69" s="34">
        <v>0</v>
      </c>
      <c r="J69" s="34">
        <v>0</v>
      </c>
      <c r="K69" s="34"/>
      <c r="L69" s="34"/>
      <c r="M69" s="34"/>
      <c r="N69" s="34"/>
      <c r="O69" s="34"/>
      <c r="P69" s="13">
        <v>0</v>
      </c>
      <c r="Q69" s="14"/>
      <c r="R69" s="14"/>
      <c r="S69" s="14"/>
      <c r="T69" s="14">
        <v>0</v>
      </c>
      <c r="U69" s="14">
        <v>0</v>
      </c>
      <c r="V69" s="14"/>
      <c r="W69" s="14"/>
      <c r="X69" s="14"/>
      <c r="Y69" s="14">
        <v>0.8</v>
      </c>
      <c r="Z69" s="14">
        <v>13.6</v>
      </c>
      <c r="AA69" s="14"/>
      <c r="AB69" s="14">
        <v>0</v>
      </c>
      <c r="AC69" s="14"/>
      <c r="AD69" s="14">
        <v>0</v>
      </c>
      <c r="AE69" s="14">
        <v>0</v>
      </c>
      <c r="AF69" s="14"/>
      <c r="AG69" s="14">
        <v>0</v>
      </c>
      <c r="AH69" s="14"/>
      <c r="AI69" s="14">
        <v>0</v>
      </c>
      <c r="AJ69" s="14">
        <v>4</v>
      </c>
      <c r="AK69" s="14">
        <v>1.6</v>
      </c>
      <c r="AL69" s="25">
        <f t="shared" si="1"/>
        <v>20</v>
      </c>
    </row>
    <row r="70" ht="20" customHeight="1" spans="1:38">
      <c r="A70" s="30" t="s">
        <v>946</v>
      </c>
      <c r="B70" s="34">
        <v>0</v>
      </c>
      <c r="C70" s="34">
        <v>0</v>
      </c>
      <c r="D70" s="34">
        <v>0</v>
      </c>
      <c r="E70" s="34">
        <v>0</v>
      </c>
      <c r="F70" s="34"/>
      <c r="G70" s="34"/>
      <c r="H70" s="34"/>
      <c r="I70" s="34">
        <v>0</v>
      </c>
      <c r="J70" s="34">
        <v>0</v>
      </c>
      <c r="K70" s="34"/>
      <c r="L70" s="34"/>
      <c r="M70" s="34"/>
      <c r="N70" s="34"/>
      <c r="O70" s="34"/>
      <c r="P70" s="13">
        <v>0</v>
      </c>
      <c r="Q70" s="14"/>
      <c r="R70" s="14"/>
      <c r="S70" s="14"/>
      <c r="T70" s="14">
        <v>0</v>
      </c>
      <c r="U70" s="14">
        <v>0</v>
      </c>
      <c r="V70" s="14"/>
      <c r="W70" s="14"/>
      <c r="X70" s="14"/>
      <c r="Y70" s="14">
        <v>0</v>
      </c>
      <c r="Z70" s="14">
        <v>0</v>
      </c>
      <c r="AA70" s="14"/>
      <c r="AB70" s="14">
        <v>0</v>
      </c>
      <c r="AC70" s="14"/>
      <c r="AD70" s="14">
        <v>0</v>
      </c>
      <c r="AE70" s="14">
        <v>0</v>
      </c>
      <c r="AF70" s="14"/>
      <c r="AG70" s="14">
        <v>0</v>
      </c>
      <c r="AH70" s="14"/>
      <c r="AI70" s="14">
        <v>0</v>
      </c>
      <c r="AJ70" s="14">
        <v>0</v>
      </c>
      <c r="AK70" s="14">
        <v>0</v>
      </c>
      <c r="AL70" s="13">
        <f t="shared" si="1"/>
        <v>0</v>
      </c>
    </row>
    <row r="71" ht="14.25" spans="1:38">
      <c r="A71" s="30" t="s">
        <v>181</v>
      </c>
      <c r="B71" s="34">
        <v>0</v>
      </c>
      <c r="C71" s="34">
        <v>0</v>
      </c>
      <c r="D71" s="34">
        <v>0</v>
      </c>
      <c r="E71" s="34">
        <v>0</v>
      </c>
      <c r="F71" s="34"/>
      <c r="G71" s="34"/>
      <c r="H71" s="34"/>
      <c r="I71" s="34">
        <v>0</v>
      </c>
      <c r="J71" s="34">
        <v>0</v>
      </c>
      <c r="K71" s="34"/>
      <c r="L71" s="34"/>
      <c r="M71" s="34"/>
      <c r="N71" s="34"/>
      <c r="O71" s="34"/>
      <c r="P71" s="13">
        <v>0</v>
      </c>
      <c r="Q71" s="14"/>
      <c r="R71" s="14"/>
      <c r="S71" s="14"/>
      <c r="T71" s="14">
        <v>0</v>
      </c>
      <c r="U71" s="14">
        <v>0</v>
      </c>
      <c r="V71" s="14"/>
      <c r="W71" s="14"/>
      <c r="X71" s="14"/>
      <c r="Y71" s="14">
        <v>0</v>
      </c>
      <c r="Z71" s="14">
        <v>0</v>
      </c>
      <c r="AA71" s="14"/>
      <c r="AB71" s="14">
        <v>0</v>
      </c>
      <c r="AC71" s="14"/>
      <c r="AD71" s="14">
        <v>0</v>
      </c>
      <c r="AE71" s="14">
        <v>0</v>
      </c>
      <c r="AF71" s="14"/>
      <c r="AG71" s="14">
        <v>0</v>
      </c>
      <c r="AH71" s="14"/>
      <c r="AI71" s="14">
        <v>0</v>
      </c>
      <c r="AJ71" s="14">
        <v>0</v>
      </c>
      <c r="AK71" s="14">
        <v>0</v>
      </c>
      <c r="AL71" s="13">
        <f t="shared" si="1"/>
        <v>0</v>
      </c>
    </row>
    <row r="72" ht="14.25" spans="1:38">
      <c r="A72" s="30" t="s">
        <v>187</v>
      </c>
      <c r="B72" s="34">
        <v>0</v>
      </c>
      <c r="C72" s="34">
        <v>0</v>
      </c>
      <c r="D72" s="34">
        <v>0</v>
      </c>
      <c r="E72" s="34">
        <v>0</v>
      </c>
      <c r="F72" s="34"/>
      <c r="G72" s="34"/>
      <c r="H72" s="34"/>
      <c r="I72" s="34">
        <v>0</v>
      </c>
      <c r="J72" s="34">
        <v>0</v>
      </c>
      <c r="K72" s="34"/>
      <c r="L72" s="34"/>
      <c r="M72" s="34"/>
      <c r="N72" s="34"/>
      <c r="O72" s="34"/>
      <c r="P72" s="13">
        <v>0</v>
      </c>
      <c r="Q72" s="14"/>
      <c r="R72" s="14"/>
      <c r="S72" s="14"/>
      <c r="T72" s="14">
        <v>4.5</v>
      </c>
      <c r="U72" s="14">
        <v>60</v>
      </c>
      <c r="V72" s="14"/>
      <c r="W72" s="14"/>
      <c r="X72" s="14"/>
      <c r="Y72" s="14">
        <v>0</v>
      </c>
      <c r="Z72" s="14">
        <v>0</v>
      </c>
      <c r="AA72" s="14"/>
      <c r="AB72" s="14">
        <v>0</v>
      </c>
      <c r="AC72" s="14"/>
      <c r="AD72" s="14">
        <v>0</v>
      </c>
      <c r="AE72" s="14">
        <v>0</v>
      </c>
      <c r="AF72" s="14"/>
      <c r="AG72" s="14">
        <v>25.5</v>
      </c>
      <c r="AH72" s="14"/>
      <c r="AI72" s="14">
        <v>0</v>
      </c>
      <c r="AJ72" s="14">
        <v>0</v>
      </c>
      <c r="AK72" s="14">
        <v>0</v>
      </c>
      <c r="AL72" s="25">
        <f t="shared" si="1"/>
        <v>90</v>
      </c>
    </row>
    <row r="73" ht="14.25" spans="1:38">
      <c r="A73" s="30" t="s">
        <v>189</v>
      </c>
      <c r="B73" s="34">
        <v>0</v>
      </c>
      <c r="C73" s="34">
        <v>0</v>
      </c>
      <c r="D73" s="34">
        <v>0</v>
      </c>
      <c r="E73" s="34">
        <v>0</v>
      </c>
      <c r="F73" s="34"/>
      <c r="G73" s="34"/>
      <c r="H73" s="34"/>
      <c r="I73" s="34">
        <v>0</v>
      </c>
      <c r="J73" s="34">
        <v>0</v>
      </c>
      <c r="K73" s="34"/>
      <c r="L73" s="34"/>
      <c r="M73" s="34"/>
      <c r="N73" s="34"/>
      <c r="O73" s="34"/>
      <c r="P73" s="13">
        <v>0</v>
      </c>
      <c r="Q73" s="14"/>
      <c r="R73" s="14"/>
      <c r="S73" s="14"/>
      <c r="T73" s="14">
        <v>15</v>
      </c>
      <c r="U73" s="14">
        <v>180</v>
      </c>
      <c r="V73" s="14"/>
      <c r="W73" s="14"/>
      <c r="X73" s="14"/>
      <c r="Y73" s="14">
        <v>0</v>
      </c>
      <c r="Z73" s="14">
        <v>0</v>
      </c>
      <c r="AA73" s="14"/>
      <c r="AB73" s="14">
        <v>0</v>
      </c>
      <c r="AC73" s="14"/>
      <c r="AD73" s="14">
        <v>0</v>
      </c>
      <c r="AE73" s="14">
        <v>0</v>
      </c>
      <c r="AF73" s="14"/>
      <c r="AG73" s="14">
        <v>85</v>
      </c>
      <c r="AH73" s="14"/>
      <c r="AI73" s="14">
        <v>0</v>
      </c>
      <c r="AJ73" s="14">
        <v>0</v>
      </c>
      <c r="AK73" s="14">
        <v>0</v>
      </c>
      <c r="AL73" s="25">
        <f t="shared" si="1"/>
        <v>280</v>
      </c>
    </row>
    <row r="74" ht="14.25" spans="1:38">
      <c r="A74" s="40" t="s">
        <v>124</v>
      </c>
      <c r="B74" s="34">
        <v>0</v>
      </c>
      <c r="C74" s="34">
        <v>0</v>
      </c>
      <c r="D74" s="34">
        <v>0</v>
      </c>
      <c r="E74" s="34">
        <v>0</v>
      </c>
      <c r="F74" s="34"/>
      <c r="G74" s="34"/>
      <c r="H74" s="34"/>
      <c r="I74" s="34">
        <v>0</v>
      </c>
      <c r="J74" s="34">
        <v>0</v>
      </c>
      <c r="K74" s="34"/>
      <c r="L74" s="34"/>
      <c r="M74" s="34"/>
      <c r="N74" s="34"/>
      <c r="O74" s="34"/>
      <c r="P74" s="13">
        <v>0</v>
      </c>
      <c r="Q74" s="14"/>
      <c r="R74" s="14"/>
      <c r="S74" s="14"/>
      <c r="T74" s="14">
        <v>0</v>
      </c>
      <c r="U74" s="14">
        <v>0</v>
      </c>
      <c r="V74" s="14">
        <v>149.5</v>
      </c>
      <c r="W74" s="14">
        <v>156</v>
      </c>
      <c r="X74" s="14">
        <v>620.5</v>
      </c>
      <c r="Y74" s="14">
        <v>0</v>
      </c>
      <c r="Z74" s="14">
        <v>0</v>
      </c>
      <c r="AA74" s="14"/>
      <c r="AB74" s="14">
        <v>0</v>
      </c>
      <c r="AC74" s="14"/>
      <c r="AD74" s="14">
        <v>0</v>
      </c>
      <c r="AE74" s="14">
        <v>0</v>
      </c>
      <c r="AF74" s="14"/>
      <c r="AG74" s="14">
        <v>0</v>
      </c>
      <c r="AH74" s="14"/>
      <c r="AI74" s="14">
        <v>0</v>
      </c>
      <c r="AJ74" s="14">
        <v>0</v>
      </c>
      <c r="AK74" s="14">
        <v>0</v>
      </c>
      <c r="AL74" s="13">
        <f t="shared" si="1"/>
        <v>926</v>
      </c>
    </row>
    <row r="75" ht="14.25" spans="1:38">
      <c r="A75" s="20" t="s">
        <v>155</v>
      </c>
      <c r="B75" s="34">
        <v>60</v>
      </c>
      <c r="C75" s="34">
        <v>260</v>
      </c>
      <c r="D75" s="34">
        <v>0</v>
      </c>
      <c r="E75" s="34">
        <v>0</v>
      </c>
      <c r="F75" s="34"/>
      <c r="G75" s="34"/>
      <c r="H75" s="34"/>
      <c r="I75" s="34">
        <v>40</v>
      </c>
      <c r="J75" s="34">
        <v>0</v>
      </c>
      <c r="K75" s="34"/>
      <c r="L75" s="34"/>
      <c r="M75" s="34"/>
      <c r="N75" s="34"/>
      <c r="O75" s="34"/>
      <c r="P75" s="13">
        <v>0</v>
      </c>
      <c r="Q75" s="14"/>
      <c r="R75" s="14"/>
      <c r="S75" s="14"/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/>
      <c r="AB75" s="14">
        <v>0</v>
      </c>
      <c r="AC75" s="14"/>
      <c r="AD75" s="14">
        <v>0</v>
      </c>
      <c r="AE75" s="14">
        <v>0</v>
      </c>
      <c r="AF75" s="14"/>
      <c r="AG75" s="14">
        <v>0</v>
      </c>
      <c r="AH75" s="14"/>
      <c r="AI75" s="14">
        <v>0</v>
      </c>
      <c r="AJ75" s="14">
        <v>0</v>
      </c>
      <c r="AK75" s="14">
        <v>0</v>
      </c>
      <c r="AL75" s="13">
        <f t="shared" si="1"/>
        <v>360</v>
      </c>
    </row>
    <row r="76" ht="17" customHeight="1" spans="1:38">
      <c r="A76" s="23" t="s">
        <v>139</v>
      </c>
      <c r="B76" s="34">
        <v>480</v>
      </c>
      <c r="C76" s="34">
        <v>660</v>
      </c>
      <c r="D76" s="34">
        <v>70</v>
      </c>
      <c r="E76" s="34">
        <v>0</v>
      </c>
      <c r="F76" s="34"/>
      <c r="G76" s="34"/>
      <c r="H76" s="34"/>
      <c r="I76" s="34">
        <v>280</v>
      </c>
      <c r="J76" s="34">
        <v>0</v>
      </c>
      <c r="K76" s="34"/>
      <c r="L76" s="34"/>
      <c r="M76" s="34"/>
      <c r="N76" s="34"/>
      <c r="O76" s="34"/>
      <c r="P76" s="13">
        <v>300</v>
      </c>
      <c r="Q76" s="14"/>
      <c r="R76" s="14"/>
      <c r="S76" s="14"/>
      <c r="T76" s="14">
        <v>7.5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/>
      <c r="AB76" s="14">
        <v>0</v>
      </c>
      <c r="AC76" s="14"/>
      <c r="AD76" s="14">
        <v>100</v>
      </c>
      <c r="AE76" s="14">
        <v>0</v>
      </c>
      <c r="AF76" s="14"/>
      <c r="AG76" s="14">
        <v>42.5</v>
      </c>
      <c r="AH76" s="14"/>
      <c r="AI76" s="14">
        <v>0</v>
      </c>
      <c r="AJ76" s="14">
        <v>0</v>
      </c>
      <c r="AK76" s="14">
        <v>0</v>
      </c>
      <c r="AL76" s="25">
        <f t="shared" si="1"/>
        <v>1940</v>
      </c>
    </row>
    <row r="77" ht="17" customHeight="1" spans="1:38">
      <c r="A77" s="41" t="s">
        <v>947</v>
      </c>
      <c r="B77" s="34">
        <v>0</v>
      </c>
      <c r="C77" s="34">
        <v>0</v>
      </c>
      <c r="D77" s="34">
        <v>0</v>
      </c>
      <c r="E77" s="34">
        <v>0</v>
      </c>
      <c r="F77" s="34"/>
      <c r="G77" s="34"/>
      <c r="H77" s="34"/>
      <c r="I77" s="34">
        <v>0</v>
      </c>
      <c r="J77" s="34">
        <v>0</v>
      </c>
      <c r="K77" s="34"/>
      <c r="L77" s="34"/>
      <c r="M77" s="34"/>
      <c r="N77" s="34"/>
      <c r="O77" s="34"/>
      <c r="P77" s="13">
        <v>0</v>
      </c>
      <c r="Q77" s="14"/>
      <c r="R77" s="14"/>
      <c r="S77" s="14"/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/>
      <c r="AB77" s="14">
        <v>0</v>
      </c>
      <c r="AC77" s="14"/>
      <c r="AD77" s="14">
        <v>0</v>
      </c>
      <c r="AE77" s="14">
        <v>0</v>
      </c>
      <c r="AF77" s="14"/>
      <c r="AG77" s="14">
        <v>0</v>
      </c>
      <c r="AH77" s="14"/>
      <c r="AI77" s="14">
        <v>0</v>
      </c>
      <c r="AJ77" s="14">
        <v>0</v>
      </c>
      <c r="AK77" s="14">
        <v>0</v>
      </c>
      <c r="AL77" s="13">
        <f t="shared" si="1"/>
        <v>0</v>
      </c>
    </row>
    <row r="78" ht="17" customHeight="1" spans="1:38">
      <c r="A78" s="20" t="s">
        <v>157</v>
      </c>
      <c r="B78" s="34">
        <v>14.85</v>
      </c>
      <c r="C78" s="34">
        <v>11</v>
      </c>
      <c r="D78" s="34">
        <v>3</v>
      </c>
      <c r="E78" s="34">
        <v>0.3</v>
      </c>
      <c r="F78" s="34"/>
      <c r="G78" s="34"/>
      <c r="H78" s="34"/>
      <c r="I78" s="34">
        <v>4</v>
      </c>
      <c r="J78" s="34">
        <v>12.5</v>
      </c>
      <c r="K78" s="34"/>
      <c r="L78" s="34"/>
      <c r="M78" s="34"/>
      <c r="N78" s="34"/>
      <c r="O78" s="34"/>
      <c r="P78" s="13">
        <v>10</v>
      </c>
      <c r="Q78" s="14"/>
      <c r="R78" s="14"/>
      <c r="S78" s="14"/>
      <c r="T78" s="14">
        <v>8</v>
      </c>
      <c r="U78" s="14">
        <v>7.5</v>
      </c>
      <c r="V78" s="14">
        <v>10</v>
      </c>
      <c r="W78" s="14">
        <v>5</v>
      </c>
      <c r="X78" s="14">
        <v>5</v>
      </c>
      <c r="Y78" s="14">
        <v>0.8</v>
      </c>
      <c r="Z78" s="14">
        <v>12.45</v>
      </c>
      <c r="AA78" s="14"/>
      <c r="AB78" s="14">
        <v>0</v>
      </c>
      <c r="AC78" s="14"/>
      <c r="AD78" s="14">
        <v>6.75</v>
      </c>
      <c r="AE78" s="14">
        <v>0.7</v>
      </c>
      <c r="AF78" s="14"/>
      <c r="AG78" s="14">
        <v>2.55</v>
      </c>
      <c r="AH78" s="14"/>
      <c r="AI78" s="14">
        <v>0</v>
      </c>
      <c r="AJ78" s="14">
        <v>4</v>
      </c>
      <c r="AK78" s="14">
        <v>0</v>
      </c>
      <c r="AL78" s="13">
        <f t="shared" si="1"/>
        <v>118.4</v>
      </c>
    </row>
    <row r="79" ht="17" customHeight="1" spans="1:38">
      <c r="A79" s="20" t="s">
        <v>160</v>
      </c>
      <c r="B79" s="34">
        <v>0</v>
      </c>
      <c r="C79" s="34">
        <v>0</v>
      </c>
      <c r="D79" s="34">
        <v>0</v>
      </c>
      <c r="E79" s="34">
        <v>0</v>
      </c>
      <c r="F79" s="34"/>
      <c r="G79" s="34"/>
      <c r="H79" s="34"/>
      <c r="I79" s="34">
        <v>160</v>
      </c>
      <c r="J79" s="34">
        <v>80</v>
      </c>
      <c r="K79" s="34"/>
      <c r="L79" s="34"/>
      <c r="M79" s="34"/>
      <c r="N79" s="34"/>
      <c r="O79" s="34"/>
      <c r="P79" s="34">
        <v>97.5</v>
      </c>
      <c r="Q79" s="14"/>
      <c r="R79" s="14"/>
      <c r="S79" s="14"/>
      <c r="T79" s="14">
        <v>6</v>
      </c>
      <c r="U79" s="14">
        <v>150</v>
      </c>
      <c r="V79" s="14">
        <v>19.5</v>
      </c>
      <c r="W79" s="14">
        <v>13</v>
      </c>
      <c r="X79" s="14">
        <v>0</v>
      </c>
      <c r="Y79" s="14">
        <v>0</v>
      </c>
      <c r="Z79" s="14">
        <v>0</v>
      </c>
      <c r="AA79" s="14"/>
      <c r="AB79" s="14">
        <v>0</v>
      </c>
      <c r="AC79" s="14"/>
      <c r="AD79" s="14">
        <v>0</v>
      </c>
      <c r="AE79" s="14">
        <v>0</v>
      </c>
      <c r="AF79" s="14"/>
      <c r="AG79" s="14">
        <v>34</v>
      </c>
      <c r="AH79" s="14"/>
      <c r="AI79" s="14">
        <v>0</v>
      </c>
      <c r="AJ79" s="14">
        <v>0</v>
      </c>
      <c r="AK79" s="14">
        <v>0</v>
      </c>
      <c r="AL79" s="13">
        <f t="shared" si="1"/>
        <v>560</v>
      </c>
    </row>
    <row r="80" ht="14.25" spans="1:38">
      <c r="A80" s="20" t="s">
        <v>232</v>
      </c>
      <c r="B80" s="34">
        <v>37.5</v>
      </c>
      <c r="C80" s="34">
        <v>0</v>
      </c>
      <c r="D80" s="34">
        <v>8</v>
      </c>
      <c r="E80" s="34">
        <v>1.2</v>
      </c>
      <c r="F80" s="34"/>
      <c r="G80" s="34"/>
      <c r="H80" s="34"/>
      <c r="I80" s="34">
        <v>0</v>
      </c>
      <c r="J80" s="34">
        <v>10</v>
      </c>
      <c r="K80" s="34"/>
      <c r="L80" s="34"/>
      <c r="M80" s="34"/>
      <c r="N80" s="34"/>
      <c r="O80" s="34"/>
      <c r="P80" s="34">
        <v>26</v>
      </c>
      <c r="Q80" s="14"/>
      <c r="R80" s="14"/>
      <c r="S80" s="14"/>
      <c r="T80" s="14"/>
      <c r="U80" s="14"/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/>
      <c r="AB80" s="14">
        <v>0</v>
      </c>
      <c r="AC80" s="14"/>
      <c r="AD80" s="14">
        <v>12.5</v>
      </c>
      <c r="AE80" s="14">
        <v>2.8</v>
      </c>
      <c r="AF80" s="14">
        <v>4</v>
      </c>
      <c r="AG80" s="14"/>
      <c r="AH80" s="14"/>
      <c r="AI80" s="14">
        <v>0</v>
      </c>
      <c r="AJ80" s="14"/>
      <c r="AK80" s="14">
        <v>0</v>
      </c>
      <c r="AL80" s="13">
        <f t="shared" si="1"/>
        <v>102</v>
      </c>
    </row>
    <row r="81" ht="14.25" spans="1:38">
      <c r="A81" s="42" t="s">
        <v>948</v>
      </c>
      <c r="B81" s="34">
        <v>0</v>
      </c>
      <c r="C81" s="34">
        <v>0</v>
      </c>
      <c r="D81" s="34">
        <v>0</v>
      </c>
      <c r="E81" s="34">
        <v>0</v>
      </c>
      <c r="F81" s="34"/>
      <c r="G81" s="34"/>
      <c r="H81" s="34"/>
      <c r="I81" s="34">
        <v>0</v>
      </c>
      <c r="J81" s="34">
        <v>0</v>
      </c>
      <c r="K81" s="34"/>
      <c r="L81" s="34"/>
      <c r="M81" s="34"/>
      <c r="N81" s="34"/>
      <c r="O81" s="34"/>
      <c r="P81" s="34">
        <v>0</v>
      </c>
      <c r="Q81" s="14"/>
      <c r="R81" s="14"/>
      <c r="S81" s="14"/>
      <c r="T81" s="14"/>
      <c r="U81" s="14"/>
      <c r="V81" s="14">
        <v>0</v>
      </c>
      <c r="W81" s="14">
        <v>0</v>
      </c>
      <c r="X81" s="14">
        <v>0</v>
      </c>
      <c r="Y81" s="14"/>
      <c r="Z81" s="14">
        <v>0</v>
      </c>
      <c r="AA81" s="14"/>
      <c r="AB81" s="14">
        <v>0</v>
      </c>
      <c r="AC81" s="14"/>
      <c r="AD81" s="14"/>
      <c r="AE81" s="14">
        <v>0</v>
      </c>
      <c r="AF81" s="14"/>
      <c r="AG81" s="14"/>
      <c r="AH81" s="14"/>
      <c r="AI81" s="14">
        <v>0</v>
      </c>
      <c r="AJ81" s="14"/>
      <c r="AK81" s="14"/>
      <c r="AL81" s="13">
        <f t="shared" si="1"/>
        <v>0</v>
      </c>
    </row>
    <row r="82" ht="14.25" spans="1:38">
      <c r="A82" s="42" t="s">
        <v>949</v>
      </c>
      <c r="B82" s="34"/>
      <c r="C82" s="34">
        <v>0</v>
      </c>
      <c r="D82" s="34">
        <v>0</v>
      </c>
      <c r="E82" s="34">
        <v>0</v>
      </c>
      <c r="F82" s="34"/>
      <c r="G82" s="34"/>
      <c r="H82" s="34"/>
      <c r="I82" s="34">
        <v>0</v>
      </c>
      <c r="J82" s="34">
        <v>0</v>
      </c>
      <c r="K82" s="34"/>
      <c r="L82" s="34"/>
      <c r="M82" s="34"/>
      <c r="N82" s="34"/>
      <c r="O82" s="34"/>
      <c r="P82" s="34">
        <v>0</v>
      </c>
      <c r="Q82" s="14"/>
      <c r="R82" s="14"/>
      <c r="S82" s="14"/>
      <c r="T82" s="14"/>
      <c r="U82" s="14"/>
      <c r="V82" s="14">
        <v>0</v>
      </c>
      <c r="W82" s="14">
        <v>0</v>
      </c>
      <c r="X82" s="14">
        <v>0</v>
      </c>
      <c r="Y82" s="14"/>
      <c r="Z82" s="14"/>
      <c r="AA82" s="14"/>
      <c r="AB82" s="14">
        <v>0</v>
      </c>
      <c r="AC82" s="14"/>
      <c r="AD82" s="14"/>
      <c r="AE82" s="14">
        <v>0</v>
      </c>
      <c r="AF82" s="14"/>
      <c r="AG82" s="14"/>
      <c r="AH82" s="14"/>
      <c r="AI82" s="14">
        <v>0</v>
      </c>
      <c r="AJ82" s="14"/>
      <c r="AK82" s="14"/>
      <c r="AL82" s="13">
        <f t="shared" si="1"/>
        <v>0</v>
      </c>
    </row>
    <row r="83" ht="14.25" spans="1:38">
      <c r="A83" s="42" t="s">
        <v>879</v>
      </c>
      <c r="B83" s="34"/>
      <c r="C83" s="34">
        <v>240</v>
      </c>
      <c r="D83" s="34">
        <v>0</v>
      </c>
      <c r="E83" s="34">
        <v>0</v>
      </c>
      <c r="F83" s="34"/>
      <c r="G83" s="34"/>
      <c r="H83" s="34"/>
      <c r="I83" s="34">
        <v>0</v>
      </c>
      <c r="J83" s="34">
        <v>0</v>
      </c>
      <c r="K83" s="34"/>
      <c r="L83" s="34"/>
      <c r="M83" s="34"/>
      <c r="N83" s="34"/>
      <c r="O83" s="34"/>
      <c r="P83" s="34"/>
      <c r="Q83" s="14"/>
      <c r="R83" s="14"/>
      <c r="S83" s="14"/>
      <c r="T83" s="14"/>
      <c r="U83" s="14"/>
      <c r="V83" s="14">
        <v>0</v>
      </c>
      <c r="W83" s="14">
        <v>0</v>
      </c>
      <c r="X83" s="14">
        <v>0</v>
      </c>
      <c r="Y83" s="14"/>
      <c r="Z83" s="14"/>
      <c r="AA83" s="14"/>
      <c r="AB83" s="14">
        <v>0</v>
      </c>
      <c r="AC83" s="14"/>
      <c r="AD83" s="14"/>
      <c r="AE83" s="14">
        <v>0</v>
      </c>
      <c r="AF83" s="14"/>
      <c r="AG83" s="14"/>
      <c r="AH83" s="14"/>
      <c r="AI83" s="14">
        <v>0</v>
      </c>
      <c r="AJ83" s="14"/>
      <c r="AK83" s="14"/>
      <c r="AL83" s="13">
        <f t="shared" si="1"/>
        <v>240</v>
      </c>
    </row>
    <row r="84" ht="14.25" spans="1:38">
      <c r="A84" s="20" t="s">
        <v>133</v>
      </c>
      <c r="B84" s="34"/>
      <c r="C84" s="34">
        <v>0</v>
      </c>
      <c r="D84" s="34">
        <v>0</v>
      </c>
      <c r="E84" s="34">
        <v>0</v>
      </c>
      <c r="F84" s="34"/>
      <c r="G84" s="34"/>
      <c r="H84" s="34"/>
      <c r="I84" s="34">
        <v>0</v>
      </c>
      <c r="J84" s="34">
        <v>0</v>
      </c>
      <c r="K84" s="34"/>
      <c r="L84" s="34"/>
      <c r="M84" s="34"/>
      <c r="N84" s="34"/>
      <c r="O84" s="34"/>
      <c r="P84" s="34">
        <v>0</v>
      </c>
      <c r="Q84" s="14"/>
      <c r="R84" s="14"/>
      <c r="S84" s="14"/>
      <c r="T84" s="14"/>
      <c r="U84" s="14"/>
      <c r="V84" s="14"/>
      <c r="W84" s="14"/>
      <c r="X84" s="14">
        <v>955</v>
      </c>
      <c r="Y84" s="14"/>
      <c r="Z84" s="14"/>
      <c r="AA84" s="14"/>
      <c r="AB84" s="14">
        <v>0</v>
      </c>
      <c r="AC84" s="14"/>
      <c r="AD84" s="14"/>
      <c r="AE84" s="14">
        <v>0</v>
      </c>
      <c r="AF84" s="14"/>
      <c r="AG84" s="14"/>
      <c r="AH84" s="14"/>
      <c r="AI84" s="14">
        <v>0</v>
      </c>
      <c r="AJ84" s="14"/>
      <c r="AK84" s="14"/>
      <c r="AL84" s="13">
        <f t="shared" si="1"/>
        <v>955</v>
      </c>
    </row>
    <row r="85" ht="14.25" spans="1:38">
      <c r="A85" s="42" t="s">
        <v>950</v>
      </c>
      <c r="B85" s="34"/>
      <c r="C85" s="34"/>
      <c r="D85" s="34">
        <v>0</v>
      </c>
      <c r="E85" s="34">
        <v>0</v>
      </c>
      <c r="F85" s="34"/>
      <c r="G85" s="34"/>
      <c r="H85" s="34"/>
      <c r="I85" s="34">
        <v>0</v>
      </c>
      <c r="J85" s="34">
        <v>0</v>
      </c>
      <c r="K85" s="34"/>
      <c r="L85" s="34"/>
      <c r="M85" s="34"/>
      <c r="N85" s="34"/>
      <c r="O85" s="34"/>
      <c r="P85" s="34">
        <v>0</v>
      </c>
      <c r="Q85" s="43"/>
      <c r="R85" s="43"/>
      <c r="S85" s="43"/>
      <c r="T85" s="43"/>
      <c r="U85" s="43"/>
      <c r="V85" s="43">
        <v>0</v>
      </c>
      <c r="W85" s="43">
        <v>0</v>
      </c>
      <c r="X85" s="43">
        <v>0</v>
      </c>
      <c r="Y85" s="43"/>
      <c r="Z85" s="43"/>
      <c r="AA85" s="43"/>
      <c r="AB85" s="43">
        <v>0</v>
      </c>
      <c r="AC85" s="43"/>
      <c r="AD85" s="43"/>
      <c r="AE85" s="43">
        <v>0</v>
      </c>
      <c r="AF85" s="43"/>
      <c r="AG85" s="43"/>
      <c r="AH85" s="43"/>
      <c r="AI85" s="43">
        <v>0</v>
      </c>
      <c r="AJ85" s="43"/>
      <c r="AK85" s="43"/>
      <c r="AL85" s="13">
        <f t="shared" si="1"/>
        <v>0</v>
      </c>
    </row>
    <row r="86" ht="14.25" spans="1:38">
      <c r="A86" s="42" t="s">
        <v>130</v>
      </c>
      <c r="B86" s="34"/>
      <c r="C86" s="34"/>
      <c r="D86" s="34">
        <v>0</v>
      </c>
      <c r="E86" s="34">
        <v>0</v>
      </c>
      <c r="F86" s="34"/>
      <c r="G86" s="34"/>
      <c r="H86" s="34"/>
      <c r="I86" s="34">
        <v>0</v>
      </c>
      <c r="J86" s="34">
        <v>0</v>
      </c>
      <c r="K86" s="34"/>
      <c r="L86" s="34"/>
      <c r="M86" s="34"/>
      <c r="N86" s="34"/>
      <c r="O86" s="34"/>
      <c r="P86" s="34">
        <v>0</v>
      </c>
      <c r="Q86" s="43"/>
      <c r="R86" s="43"/>
      <c r="S86" s="43"/>
      <c r="T86" s="43"/>
      <c r="U86" s="43"/>
      <c r="V86" s="43">
        <v>0</v>
      </c>
      <c r="W86" s="43">
        <v>150</v>
      </c>
      <c r="X86" s="43">
        <v>0</v>
      </c>
      <c r="Y86" s="43"/>
      <c r="Z86" s="43"/>
      <c r="AA86" s="43"/>
      <c r="AB86" s="43">
        <v>0</v>
      </c>
      <c r="AC86" s="43"/>
      <c r="AD86" s="43"/>
      <c r="AE86" s="43">
        <v>0</v>
      </c>
      <c r="AF86" s="43"/>
      <c r="AG86" s="43"/>
      <c r="AH86" s="43"/>
      <c r="AI86" s="43">
        <v>0</v>
      </c>
      <c r="AJ86" s="43"/>
      <c r="AK86" s="43"/>
      <c r="AL86" s="13">
        <f t="shared" si="1"/>
        <v>150</v>
      </c>
    </row>
    <row r="87" ht="14.25" spans="1:38">
      <c r="A87" s="44" t="s">
        <v>951</v>
      </c>
      <c r="B87" s="34"/>
      <c r="C87" s="34"/>
      <c r="D87" s="34">
        <v>0</v>
      </c>
      <c r="E87" s="34">
        <v>0</v>
      </c>
      <c r="F87" s="34"/>
      <c r="G87" s="34"/>
      <c r="H87" s="34"/>
      <c r="I87" s="34">
        <v>0</v>
      </c>
      <c r="J87" s="34">
        <v>0</v>
      </c>
      <c r="K87" s="34"/>
      <c r="L87" s="34"/>
      <c r="M87" s="34"/>
      <c r="N87" s="34"/>
      <c r="O87" s="34"/>
      <c r="P87" s="34">
        <v>0</v>
      </c>
      <c r="Q87" s="43"/>
      <c r="R87" s="43"/>
      <c r="S87" s="43"/>
      <c r="T87" s="43"/>
      <c r="U87" s="43"/>
      <c r="V87" s="43">
        <v>0</v>
      </c>
      <c r="W87" s="43">
        <v>0</v>
      </c>
      <c r="X87" s="43">
        <v>0</v>
      </c>
      <c r="Y87" s="43"/>
      <c r="Z87" s="43"/>
      <c r="AA87" s="43"/>
      <c r="AB87" s="43">
        <v>0</v>
      </c>
      <c r="AC87" s="43"/>
      <c r="AD87" s="43"/>
      <c r="AE87" s="43">
        <v>0</v>
      </c>
      <c r="AF87" s="43"/>
      <c r="AG87" s="43"/>
      <c r="AH87" s="43"/>
      <c r="AI87" s="43">
        <v>0</v>
      </c>
      <c r="AJ87" s="43"/>
      <c r="AK87" s="43"/>
      <c r="AL87" s="13">
        <f t="shared" si="1"/>
        <v>0</v>
      </c>
    </row>
    <row r="88" ht="18.75" spans="1:38">
      <c r="A88" s="45" t="s">
        <v>952</v>
      </c>
      <c r="B88" s="34"/>
      <c r="C88" s="34"/>
      <c r="D88" s="34">
        <v>0</v>
      </c>
      <c r="E88" s="34">
        <v>0</v>
      </c>
      <c r="F88" s="34"/>
      <c r="G88" s="34"/>
      <c r="H88" s="34"/>
      <c r="I88" s="34">
        <v>0</v>
      </c>
      <c r="J88" s="34">
        <v>0</v>
      </c>
      <c r="K88" s="34"/>
      <c r="L88" s="34"/>
      <c r="M88" s="34"/>
      <c r="N88" s="34"/>
      <c r="O88" s="34"/>
      <c r="P88" s="34"/>
      <c r="Q88" s="43"/>
      <c r="R88" s="43"/>
      <c r="S88" s="43"/>
      <c r="T88" s="43"/>
      <c r="U88" s="43"/>
      <c r="V88" s="43"/>
      <c r="W88" s="43"/>
      <c r="X88" s="43">
        <v>0</v>
      </c>
      <c r="Y88" s="43"/>
      <c r="Z88" s="43"/>
      <c r="AA88" s="43"/>
      <c r="AB88" s="43">
        <v>0</v>
      </c>
      <c r="AC88" s="43"/>
      <c r="AD88" s="43"/>
      <c r="AE88" s="43">
        <v>0</v>
      </c>
      <c r="AF88" s="43"/>
      <c r="AG88" s="43"/>
      <c r="AH88" s="43"/>
      <c r="AI88" s="43">
        <v>0</v>
      </c>
      <c r="AJ88" s="43"/>
      <c r="AK88" s="43"/>
      <c r="AL88" s="13">
        <f t="shared" si="1"/>
        <v>0</v>
      </c>
    </row>
    <row r="89" ht="14.25" spans="1:38">
      <c r="A89" s="44" t="s">
        <v>953</v>
      </c>
      <c r="B89" s="34"/>
      <c r="C89" s="34"/>
      <c r="D89" s="34">
        <v>0</v>
      </c>
      <c r="E89" s="34">
        <v>0</v>
      </c>
      <c r="F89" s="34"/>
      <c r="G89" s="34"/>
      <c r="H89" s="34"/>
      <c r="I89" s="34">
        <v>0</v>
      </c>
      <c r="J89" s="34">
        <v>0</v>
      </c>
      <c r="K89" s="34"/>
      <c r="L89" s="34"/>
      <c r="M89" s="34"/>
      <c r="N89" s="34"/>
      <c r="O89" s="34"/>
      <c r="P89" s="34">
        <v>0</v>
      </c>
      <c r="Q89" s="43"/>
      <c r="R89" s="43"/>
      <c r="S89" s="43"/>
      <c r="T89" s="43"/>
      <c r="U89" s="43"/>
      <c r="V89" s="43">
        <v>0</v>
      </c>
      <c r="W89" s="43">
        <v>0</v>
      </c>
      <c r="X89" s="43">
        <v>0</v>
      </c>
      <c r="Y89" s="43"/>
      <c r="Z89" s="43"/>
      <c r="AA89" s="43"/>
      <c r="AB89" s="43">
        <v>0</v>
      </c>
      <c r="AC89" s="43"/>
      <c r="AD89" s="43"/>
      <c r="AE89" s="43">
        <v>0</v>
      </c>
      <c r="AF89" s="43"/>
      <c r="AG89" s="43"/>
      <c r="AH89" s="43"/>
      <c r="AI89" s="43">
        <v>0</v>
      </c>
      <c r="AJ89" s="43"/>
      <c r="AK89" s="43"/>
      <c r="AL89" s="13">
        <f t="shared" si="1"/>
        <v>0</v>
      </c>
    </row>
    <row r="90" ht="14.25" spans="1:38">
      <c r="A90" s="42" t="s">
        <v>136</v>
      </c>
      <c r="B90" s="34"/>
      <c r="C90" s="34"/>
      <c r="D90" s="34">
        <v>0</v>
      </c>
      <c r="E90" s="34">
        <v>0</v>
      </c>
      <c r="F90" s="34"/>
      <c r="G90" s="34"/>
      <c r="H90" s="34"/>
      <c r="I90" s="34">
        <v>0</v>
      </c>
      <c r="J90" s="34">
        <v>0</v>
      </c>
      <c r="K90" s="34"/>
      <c r="L90" s="34"/>
      <c r="M90" s="34"/>
      <c r="N90" s="34"/>
      <c r="O90" s="34"/>
      <c r="P90" s="34">
        <v>0</v>
      </c>
      <c r="Q90" s="43"/>
      <c r="R90" s="43"/>
      <c r="S90" s="43"/>
      <c r="T90" s="43"/>
      <c r="U90" s="43"/>
      <c r="V90" s="43">
        <v>150</v>
      </c>
      <c r="W90" s="43">
        <v>0</v>
      </c>
      <c r="X90" s="43">
        <v>0</v>
      </c>
      <c r="Y90" s="43"/>
      <c r="Z90" s="43"/>
      <c r="AA90" s="43"/>
      <c r="AB90" s="43">
        <v>0</v>
      </c>
      <c r="AC90" s="43"/>
      <c r="AD90" s="43"/>
      <c r="AE90" s="43">
        <v>0</v>
      </c>
      <c r="AF90" s="43"/>
      <c r="AG90" s="43"/>
      <c r="AH90" s="43"/>
      <c r="AI90" s="43">
        <v>0</v>
      </c>
      <c r="AJ90" s="43"/>
      <c r="AK90" s="43"/>
      <c r="AL90" s="13">
        <f t="shared" si="1"/>
        <v>150</v>
      </c>
    </row>
    <row r="91" ht="14.25" spans="1:38">
      <c r="A91" s="42" t="s">
        <v>954</v>
      </c>
      <c r="B91" s="34"/>
      <c r="C91" s="34"/>
      <c r="D91" s="34">
        <v>0</v>
      </c>
      <c r="E91" s="34">
        <v>0</v>
      </c>
      <c r="F91" s="34"/>
      <c r="G91" s="34"/>
      <c r="H91" s="34"/>
      <c r="I91" s="34">
        <v>0</v>
      </c>
      <c r="J91" s="34">
        <v>0</v>
      </c>
      <c r="K91" s="34"/>
      <c r="L91" s="34"/>
      <c r="M91" s="34"/>
      <c r="N91" s="34"/>
      <c r="O91" s="34"/>
      <c r="P91" s="34">
        <v>0</v>
      </c>
      <c r="Q91" s="43"/>
      <c r="R91" s="43"/>
      <c r="S91" s="43"/>
      <c r="T91" s="43"/>
      <c r="U91" s="43"/>
      <c r="V91" s="43">
        <v>0</v>
      </c>
      <c r="W91" s="43">
        <v>0</v>
      </c>
      <c r="X91" s="43">
        <v>0</v>
      </c>
      <c r="Y91" s="43"/>
      <c r="Z91" s="43"/>
      <c r="AA91" s="43"/>
      <c r="AB91" s="43">
        <v>0</v>
      </c>
      <c r="AC91" s="43"/>
      <c r="AD91" s="43"/>
      <c r="AE91" s="43">
        <v>0</v>
      </c>
      <c r="AF91" s="43"/>
      <c r="AG91" s="43"/>
      <c r="AH91" s="43"/>
      <c r="AI91" s="43">
        <v>0</v>
      </c>
      <c r="AJ91" s="43"/>
      <c r="AK91" s="43"/>
      <c r="AL91" s="13">
        <f t="shared" si="1"/>
        <v>0</v>
      </c>
    </row>
    <row r="92" ht="14.25" spans="1:38">
      <c r="A92" s="42" t="s">
        <v>955</v>
      </c>
      <c r="B92" s="34"/>
      <c r="C92" s="34"/>
      <c r="D92" s="34">
        <v>0</v>
      </c>
      <c r="E92" s="34">
        <v>0</v>
      </c>
      <c r="F92" s="34"/>
      <c r="G92" s="34"/>
      <c r="H92" s="34"/>
      <c r="I92" s="34">
        <v>0</v>
      </c>
      <c r="J92" s="34">
        <v>0</v>
      </c>
      <c r="K92" s="34"/>
      <c r="L92" s="34"/>
      <c r="M92" s="34"/>
      <c r="N92" s="34"/>
      <c r="O92" s="34"/>
      <c r="P92" s="34">
        <v>0</v>
      </c>
      <c r="Q92" s="43"/>
      <c r="R92" s="43"/>
      <c r="S92" s="43"/>
      <c r="T92" s="43"/>
      <c r="U92" s="43"/>
      <c r="V92" s="43">
        <v>0</v>
      </c>
      <c r="W92" s="43">
        <v>0</v>
      </c>
      <c r="X92" s="43">
        <v>0</v>
      </c>
      <c r="Y92" s="43"/>
      <c r="Z92" s="43"/>
      <c r="AA92" s="43"/>
      <c r="AB92" s="43">
        <v>0</v>
      </c>
      <c r="AC92" s="43"/>
      <c r="AD92" s="43"/>
      <c r="AE92" s="43">
        <v>0</v>
      </c>
      <c r="AF92" s="43"/>
      <c r="AG92" s="43"/>
      <c r="AH92" s="43"/>
      <c r="AI92" s="43">
        <v>0</v>
      </c>
      <c r="AJ92" s="43"/>
      <c r="AK92" s="43"/>
      <c r="AL92" s="13">
        <f t="shared" si="1"/>
        <v>0</v>
      </c>
    </row>
    <row r="93" ht="14.25" spans="1:38">
      <c r="A93" s="42" t="s">
        <v>956</v>
      </c>
      <c r="B93" s="34"/>
      <c r="C93" s="34"/>
      <c r="D93" s="34">
        <v>0</v>
      </c>
      <c r="E93" s="34">
        <v>0</v>
      </c>
      <c r="F93" s="34"/>
      <c r="G93" s="34"/>
      <c r="H93" s="34"/>
      <c r="I93" s="34">
        <v>0</v>
      </c>
      <c r="J93" s="34">
        <v>0</v>
      </c>
      <c r="K93" s="34"/>
      <c r="L93" s="34"/>
      <c r="M93" s="34"/>
      <c r="N93" s="34"/>
      <c r="O93" s="34"/>
      <c r="P93" s="34">
        <v>0</v>
      </c>
      <c r="Q93" s="43"/>
      <c r="R93" s="43"/>
      <c r="S93" s="43"/>
      <c r="T93" s="43"/>
      <c r="U93" s="43"/>
      <c r="V93" s="43">
        <v>0</v>
      </c>
      <c r="W93" s="43">
        <v>0</v>
      </c>
      <c r="X93" s="43">
        <v>0</v>
      </c>
      <c r="Y93" s="43"/>
      <c r="Z93" s="43"/>
      <c r="AA93" s="43"/>
      <c r="AB93" s="43">
        <v>0</v>
      </c>
      <c r="AC93" s="43"/>
      <c r="AD93" s="43"/>
      <c r="AE93" s="43">
        <v>0</v>
      </c>
      <c r="AF93" s="43"/>
      <c r="AG93" s="43"/>
      <c r="AH93" s="43"/>
      <c r="AI93" s="43">
        <v>0</v>
      </c>
      <c r="AJ93" s="43"/>
      <c r="AK93" s="43"/>
      <c r="AL93" s="13">
        <f t="shared" si="1"/>
        <v>0</v>
      </c>
    </row>
    <row r="94" ht="14.25" spans="1:38">
      <c r="A94" s="42" t="s">
        <v>195</v>
      </c>
      <c r="B94" s="34"/>
      <c r="C94" s="34"/>
      <c r="D94" s="34">
        <v>0</v>
      </c>
      <c r="E94" s="34">
        <v>0</v>
      </c>
      <c r="F94" s="34"/>
      <c r="G94" s="34"/>
      <c r="H94" s="34"/>
      <c r="I94" s="34">
        <v>0</v>
      </c>
      <c r="J94" s="34">
        <v>0</v>
      </c>
      <c r="K94" s="34"/>
      <c r="L94" s="34"/>
      <c r="M94" s="34"/>
      <c r="N94" s="34"/>
      <c r="O94" s="34"/>
      <c r="P94" s="34">
        <v>0</v>
      </c>
      <c r="Q94" s="43"/>
      <c r="R94" s="43"/>
      <c r="S94" s="43"/>
      <c r="T94" s="43"/>
      <c r="U94" s="43"/>
      <c r="V94" s="43">
        <v>84.5</v>
      </c>
      <c r="W94" s="43">
        <v>0</v>
      </c>
      <c r="X94" s="43">
        <v>143.5</v>
      </c>
      <c r="Y94" s="43"/>
      <c r="Z94" s="43"/>
      <c r="AA94" s="43"/>
      <c r="AB94" s="43">
        <v>0</v>
      </c>
      <c r="AC94" s="43"/>
      <c r="AD94" s="43"/>
      <c r="AE94" s="43">
        <v>0</v>
      </c>
      <c r="AF94" s="43"/>
      <c r="AG94" s="43"/>
      <c r="AH94" s="43"/>
      <c r="AI94" s="43">
        <v>0</v>
      </c>
      <c r="AJ94" s="43"/>
      <c r="AK94" s="43"/>
      <c r="AL94" s="13">
        <f t="shared" si="1"/>
        <v>228</v>
      </c>
    </row>
    <row r="95" ht="14.25" spans="1:38">
      <c r="A95" s="42" t="s">
        <v>225</v>
      </c>
      <c r="B95" s="34"/>
      <c r="C95" s="34"/>
      <c r="D95" s="34">
        <v>0</v>
      </c>
      <c r="E95" s="34">
        <v>0</v>
      </c>
      <c r="F95" s="34"/>
      <c r="G95" s="34"/>
      <c r="H95" s="34"/>
      <c r="I95" s="34">
        <v>0</v>
      </c>
      <c r="J95" s="34">
        <v>0</v>
      </c>
      <c r="K95" s="34"/>
      <c r="L95" s="34"/>
      <c r="M95" s="34"/>
      <c r="N95" s="34"/>
      <c r="O95" s="34"/>
      <c r="P95" s="34">
        <v>0</v>
      </c>
      <c r="Q95" s="43"/>
      <c r="R95" s="43"/>
      <c r="S95" s="43"/>
      <c r="T95" s="43"/>
      <c r="U95" s="43"/>
      <c r="V95" s="43">
        <v>0</v>
      </c>
      <c r="W95" s="43">
        <v>0</v>
      </c>
      <c r="X95" s="43">
        <v>625</v>
      </c>
      <c r="Y95" s="43"/>
      <c r="Z95" s="43"/>
      <c r="AA95" s="43"/>
      <c r="AB95" s="43">
        <v>0</v>
      </c>
      <c r="AC95" s="43"/>
      <c r="AD95" s="43"/>
      <c r="AE95" s="43">
        <v>0</v>
      </c>
      <c r="AF95" s="43"/>
      <c r="AG95" s="43"/>
      <c r="AH95" s="43"/>
      <c r="AI95" s="43">
        <v>0</v>
      </c>
      <c r="AJ95" s="43"/>
      <c r="AK95" s="43"/>
      <c r="AL95" s="13">
        <f t="shared" si="1"/>
        <v>625</v>
      </c>
    </row>
    <row r="96" ht="14.25" spans="1:38">
      <c r="A96" s="42" t="s">
        <v>179</v>
      </c>
      <c r="B96" s="34"/>
      <c r="C96" s="34"/>
      <c r="D96" s="34">
        <v>0</v>
      </c>
      <c r="E96" s="34">
        <v>0</v>
      </c>
      <c r="F96" s="34"/>
      <c r="G96" s="34"/>
      <c r="H96" s="34"/>
      <c r="I96" s="34">
        <v>0</v>
      </c>
      <c r="J96" s="34">
        <v>0</v>
      </c>
      <c r="K96" s="34"/>
      <c r="L96" s="34"/>
      <c r="M96" s="34"/>
      <c r="N96" s="34"/>
      <c r="O96" s="34"/>
      <c r="P96" s="34">
        <v>0</v>
      </c>
      <c r="Q96" s="43"/>
      <c r="R96" s="43"/>
      <c r="S96" s="43"/>
      <c r="T96" s="43"/>
      <c r="U96" s="43"/>
      <c r="V96" s="43">
        <v>0</v>
      </c>
      <c r="W96" s="43">
        <v>1.35</v>
      </c>
      <c r="X96" s="43">
        <v>3</v>
      </c>
      <c r="Y96" s="43"/>
      <c r="Z96" s="43"/>
      <c r="AA96" s="43"/>
      <c r="AB96" s="43">
        <v>0</v>
      </c>
      <c r="AC96" s="43"/>
      <c r="AD96" s="43"/>
      <c r="AE96" s="43">
        <v>0</v>
      </c>
      <c r="AF96" s="43"/>
      <c r="AG96" s="43"/>
      <c r="AH96" s="43"/>
      <c r="AI96" s="43">
        <v>0</v>
      </c>
      <c r="AJ96" s="43"/>
      <c r="AK96" s="43"/>
      <c r="AL96" s="13">
        <f t="shared" si="1"/>
        <v>4.35</v>
      </c>
    </row>
    <row r="97" ht="14.25" spans="1:38">
      <c r="A97" s="42" t="s">
        <v>177</v>
      </c>
      <c r="B97" s="34"/>
      <c r="C97" s="34"/>
      <c r="D97" s="34">
        <v>0</v>
      </c>
      <c r="E97" s="34">
        <v>0</v>
      </c>
      <c r="F97" s="34"/>
      <c r="G97" s="34"/>
      <c r="H97" s="34"/>
      <c r="I97" s="34">
        <v>0</v>
      </c>
      <c r="J97" s="34">
        <v>0</v>
      </c>
      <c r="K97" s="34"/>
      <c r="L97" s="34"/>
      <c r="M97" s="34"/>
      <c r="N97" s="34"/>
      <c r="O97" s="34"/>
      <c r="P97" s="34">
        <v>0</v>
      </c>
      <c r="Q97" s="43"/>
      <c r="R97" s="43"/>
      <c r="S97" s="43"/>
      <c r="T97" s="43"/>
      <c r="U97" s="43"/>
      <c r="V97" s="43">
        <v>0</v>
      </c>
      <c r="W97" s="43">
        <v>96.525</v>
      </c>
      <c r="X97" s="43">
        <v>333.475</v>
      </c>
      <c r="Y97" s="43"/>
      <c r="Z97" s="43"/>
      <c r="AA97" s="43"/>
      <c r="AB97" s="43">
        <v>0</v>
      </c>
      <c r="AC97" s="43"/>
      <c r="AD97" s="43"/>
      <c r="AE97" s="43">
        <v>0</v>
      </c>
      <c r="AF97" s="43"/>
      <c r="AG97" s="43"/>
      <c r="AH97" s="43"/>
      <c r="AI97" s="43">
        <v>0</v>
      </c>
      <c r="AJ97" s="43"/>
      <c r="AK97" s="43"/>
      <c r="AL97" s="13">
        <f t="shared" si="1"/>
        <v>430</v>
      </c>
    </row>
    <row r="98" ht="16.5" customHeight="1" spans="1:38">
      <c r="A98" s="42" t="s">
        <v>230</v>
      </c>
      <c r="B98" s="34"/>
      <c r="C98" s="34"/>
      <c r="D98" s="34">
        <v>0</v>
      </c>
      <c r="E98" s="34">
        <v>0</v>
      </c>
      <c r="F98" s="34"/>
      <c r="G98" s="34"/>
      <c r="H98" s="34"/>
      <c r="I98" s="34">
        <v>2</v>
      </c>
      <c r="J98" s="34">
        <v>2.87</v>
      </c>
      <c r="K98" s="34"/>
      <c r="L98" s="34"/>
      <c r="M98" s="34"/>
      <c r="N98" s="34"/>
      <c r="O98" s="34"/>
      <c r="P98" s="34">
        <v>0</v>
      </c>
      <c r="Q98" s="43"/>
      <c r="R98" s="43"/>
      <c r="S98" s="43"/>
      <c r="T98" s="43"/>
      <c r="U98" s="43"/>
      <c r="V98" s="43">
        <v>0</v>
      </c>
      <c r="W98" s="43">
        <v>0</v>
      </c>
      <c r="X98" s="43">
        <v>0</v>
      </c>
      <c r="Y98" s="43"/>
      <c r="Z98" s="43"/>
      <c r="AA98" s="43"/>
      <c r="AB98" s="43">
        <v>0</v>
      </c>
      <c r="AC98" s="43"/>
      <c r="AD98" s="43"/>
      <c r="AE98" s="43">
        <v>0</v>
      </c>
      <c r="AF98" s="43"/>
      <c r="AG98" s="43"/>
      <c r="AH98" s="43"/>
      <c r="AI98" s="43">
        <v>0</v>
      </c>
      <c r="AJ98" s="43"/>
      <c r="AK98" s="43"/>
      <c r="AL98" s="13">
        <f t="shared" si="1"/>
        <v>4.87</v>
      </c>
    </row>
    <row r="99" ht="14.25" spans="1:38">
      <c r="A99" s="46" t="s">
        <v>113</v>
      </c>
      <c r="B99" s="43"/>
      <c r="C99" s="43"/>
      <c r="D99" s="43">
        <v>0</v>
      </c>
      <c r="E99" s="43">
        <v>0</v>
      </c>
      <c r="F99" s="43"/>
      <c r="G99" s="43"/>
      <c r="H99" s="43"/>
      <c r="I99" s="43">
        <v>0</v>
      </c>
      <c r="J99" s="43">
        <v>0</v>
      </c>
      <c r="K99" s="43"/>
      <c r="L99" s="43"/>
      <c r="M99" s="43"/>
      <c r="N99" s="43"/>
      <c r="O99" s="43"/>
      <c r="P99" s="34">
        <v>0</v>
      </c>
      <c r="Q99" s="43"/>
      <c r="R99" s="43"/>
      <c r="S99" s="43"/>
      <c r="T99" s="43"/>
      <c r="U99" s="43"/>
      <c r="V99" s="43">
        <v>0</v>
      </c>
      <c r="W99" s="43">
        <v>0</v>
      </c>
      <c r="X99" s="43">
        <v>0.3</v>
      </c>
      <c r="Y99" s="43"/>
      <c r="Z99" s="43"/>
      <c r="AA99" s="43"/>
      <c r="AB99" s="43">
        <v>0</v>
      </c>
      <c r="AC99" s="43"/>
      <c r="AD99" s="43"/>
      <c r="AE99" s="43">
        <v>0</v>
      </c>
      <c r="AF99" s="43"/>
      <c r="AG99" s="43"/>
      <c r="AH99" s="43"/>
      <c r="AI99" s="43">
        <v>0</v>
      </c>
      <c r="AJ99" s="43"/>
      <c r="AK99" s="43"/>
      <c r="AL99" s="13">
        <f t="shared" si="1"/>
        <v>0.3</v>
      </c>
    </row>
    <row r="100" ht="14.25" spans="1:38">
      <c r="A100" s="47" t="s">
        <v>240</v>
      </c>
      <c r="B100" s="34"/>
      <c r="C100" s="34"/>
      <c r="D100" s="34">
        <v>80</v>
      </c>
      <c r="E100" s="34">
        <v>12</v>
      </c>
      <c r="F100" s="34"/>
      <c r="G100" s="34"/>
      <c r="H100" s="34"/>
      <c r="I100" s="34">
        <v>0</v>
      </c>
      <c r="J100" s="34">
        <v>160</v>
      </c>
      <c r="K100" s="34"/>
      <c r="L100" s="34"/>
      <c r="M100" s="34"/>
      <c r="N100" s="34"/>
      <c r="O100" s="34"/>
      <c r="P100" s="34">
        <v>240</v>
      </c>
      <c r="Q100" s="43"/>
      <c r="R100" s="43"/>
      <c r="S100" s="43"/>
      <c r="T100" s="43"/>
      <c r="U100" s="43"/>
      <c r="V100" s="43">
        <v>0</v>
      </c>
      <c r="W100" s="43">
        <v>0</v>
      </c>
      <c r="X100" s="43">
        <v>40</v>
      </c>
      <c r="Y100" s="43"/>
      <c r="Z100" s="43"/>
      <c r="AA100" s="43"/>
      <c r="AB100" s="43">
        <v>0</v>
      </c>
      <c r="AC100" s="43"/>
      <c r="AD100" s="43"/>
      <c r="AE100" s="43">
        <v>28</v>
      </c>
      <c r="AF100" s="43">
        <v>20</v>
      </c>
      <c r="AG100" s="43"/>
      <c r="AH100" s="43"/>
      <c r="AI100" s="43">
        <v>0</v>
      </c>
      <c r="AJ100" s="43"/>
      <c r="AK100" s="43"/>
      <c r="AL100" s="13">
        <f t="shared" si="1"/>
        <v>580</v>
      </c>
    </row>
    <row r="101" ht="14.25" spans="1:38">
      <c r="A101" s="48" t="s">
        <v>255</v>
      </c>
      <c r="B101" s="43"/>
      <c r="C101" s="43"/>
      <c r="D101" s="43">
        <v>0</v>
      </c>
      <c r="E101" s="43">
        <v>0</v>
      </c>
      <c r="F101" s="43"/>
      <c r="G101" s="43"/>
      <c r="H101" s="43"/>
      <c r="I101" s="43">
        <v>0</v>
      </c>
      <c r="J101" s="43">
        <v>0</v>
      </c>
      <c r="K101" s="43"/>
      <c r="L101" s="43"/>
      <c r="M101" s="43"/>
      <c r="N101" s="43"/>
      <c r="O101" s="43"/>
      <c r="P101" s="34">
        <v>0</v>
      </c>
      <c r="Q101" s="43"/>
      <c r="R101" s="43"/>
      <c r="S101" s="43"/>
      <c r="T101" s="43"/>
      <c r="U101" s="43"/>
      <c r="V101" s="43">
        <v>0</v>
      </c>
      <c r="W101" s="43">
        <v>0</v>
      </c>
      <c r="X101" s="43">
        <v>120</v>
      </c>
      <c r="Y101" s="43"/>
      <c r="Z101" s="43"/>
      <c r="AA101" s="43"/>
      <c r="AB101" s="43">
        <v>0</v>
      </c>
      <c r="AC101" s="43"/>
      <c r="AD101" s="43"/>
      <c r="AE101" s="43">
        <v>0</v>
      </c>
      <c r="AF101" s="43"/>
      <c r="AG101" s="43"/>
      <c r="AH101" s="43"/>
      <c r="AI101" s="43">
        <v>0</v>
      </c>
      <c r="AJ101" s="43"/>
      <c r="AK101" s="43"/>
      <c r="AL101" s="13">
        <f t="shared" si="1"/>
        <v>120</v>
      </c>
    </row>
    <row r="102" ht="14.25" spans="1:38">
      <c r="A102" s="46" t="s">
        <v>957</v>
      </c>
      <c r="B102" s="43"/>
      <c r="C102" s="43"/>
      <c r="D102" s="43">
        <v>0</v>
      </c>
      <c r="E102" s="43">
        <v>0</v>
      </c>
      <c r="F102" s="43"/>
      <c r="G102" s="43"/>
      <c r="H102" s="43"/>
      <c r="I102" s="43">
        <v>0</v>
      </c>
      <c r="J102" s="43">
        <v>0</v>
      </c>
      <c r="K102" s="43"/>
      <c r="L102" s="43"/>
      <c r="M102" s="43"/>
      <c r="N102" s="43"/>
      <c r="O102" s="43"/>
      <c r="P102" s="34">
        <v>0</v>
      </c>
      <c r="Q102" s="43"/>
      <c r="R102" s="43"/>
      <c r="S102" s="43"/>
      <c r="T102" s="43"/>
      <c r="U102" s="43"/>
      <c r="V102" s="43">
        <v>0</v>
      </c>
      <c r="W102" s="43">
        <v>162.5</v>
      </c>
      <c r="X102" s="43">
        <v>0</v>
      </c>
      <c r="Y102" s="43"/>
      <c r="Z102" s="43"/>
      <c r="AA102" s="43"/>
      <c r="AB102" s="43">
        <v>0</v>
      </c>
      <c r="AC102" s="43"/>
      <c r="AD102" s="43"/>
      <c r="AE102" s="43">
        <v>0</v>
      </c>
      <c r="AF102" s="43"/>
      <c r="AG102" s="43"/>
      <c r="AH102" s="43"/>
      <c r="AI102" s="43">
        <v>0</v>
      </c>
      <c r="AJ102" s="43"/>
      <c r="AK102" s="43"/>
      <c r="AL102" s="13">
        <f t="shared" si="1"/>
        <v>162.5</v>
      </c>
    </row>
    <row r="103" ht="14.25" spans="1:38">
      <c r="A103" s="48" t="s">
        <v>958</v>
      </c>
      <c r="B103" s="43"/>
      <c r="C103" s="43"/>
      <c r="D103" s="43">
        <v>0</v>
      </c>
      <c r="E103" s="43">
        <v>0</v>
      </c>
      <c r="F103" s="43"/>
      <c r="G103" s="43"/>
      <c r="H103" s="43"/>
      <c r="I103" s="43">
        <v>0</v>
      </c>
      <c r="J103" s="43">
        <v>0</v>
      </c>
      <c r="K103" s="43"/>
      <c r="L103" s="43"/>
      <c r="M103" s="43"/>
      <c r="N103" s="43"/>
      <c r="O103" s="43"/>
      <c r="P103" s="34">
        <v>0</v>
      </c>
      <c r="Q103" s="43"/>
      <c r="R103" s="43"/>
      <c r="S103" s="43"/>
      <c r="T103" s="43"/>
      <c r="U103" s="43"/>
      <c r="V103" s="43">
        <v>0</v>
      </c>
      <c r="W103" s="43">
        <v>0.195</v>
      </c>
      <c r="X103" s="43">
        <v>3.6</v>
      </c>
      <c r="Y103" s="43"/>
      <c r="Z103" s="43"/>
      <c r="AA103" s="43"/>
      <c r="AB103" s="43">
        <v>0</v>
      </c>
      <c r="AC103" s="43"/>
      <c r="AD103" s="43"/>
      <c r="AE103" s="43">
        <v>0</v>
      </c>
      <c r="AF103" s="43"/>
      <c r="AG103" s="43"/>
      <c r="AH103" s="43"/>
      <c r="AI103" s="43">
        <v>0</v>
      </c>
      <c r="AJ103" s="43"/>
      <c r="AK103" s="43"/>
      <c r="AL103" s="13">
        <f t="shared" si="1"/>
        <v>3.795</v>
      </c>
    </row>
    <row r="104" ht="14.25" spans="1:38">
      <c r="A104" s="49" t="s">
        <v>243</v>
      </c>
      <c r="B104" s="43"/>
      <c r="C104" s="43"/>
      <c r="D104" s="43">
        <v>0</v>
      </c>
      <c r="E104" s="43">
        <v>0</v>
      </c>
      <c r="F104" s="43"/>
      <c r="G104" s="43"/>
      <c r="H104" s="43"/>
      <c r="I104" s="43">
        <v>0</v>
      </c>
      <c r="J104" s="43">
        <v>0</v>
      </c>
      <c r="K104" s="43"/>
      <c r="L104" s="43"/>
      <c r="M104" s="43"/>
      <c r="N104" s="43"/>
      <c r="O104" s="43"/>
      <c r="P104" s="43">
        <v>0</v>
      </c>
      <c r="Q104" s="43"/>
      <c r="R104" s="43"/>
      <c r="S104" s="43"/>
      <c r="T104" s="43"/>
      <c r="U104" s="43"/>
      <c r="V104" s="43">
        <v>18</v>
      </c>
      <c r="W104" s="43">
        <v>0</v>
      </c>
      <c r="X104" s="43">
        <v>0</v>
      </c>
      <c r="Y104" s="43"/>
      <c r="Z104" s="43"/>
      <c r="AA104" s="43"/>
      <c r="AB104" s="43">
        <v>0</v>
      </c>
      <c r="AC104" s="43"/>
      <c r="AD104" s="43"/>
      <c r="AE104" s="43">
        <v>0</v>
      </c>
      <c r="AF104" s="43"/>
      <c r="AG104" s="43"/>
      <c r="AH104" s="43"/>
      <c r="AI104" s="43">
        <v>0</v>
      </c>
      <c r="AJ104" s="43"/>
      <c r="AK104" s="43"/>
      <c r="AL104" s="13">
        <f t="shared" si="1"/>
        <v>18</v>
      </c>
    </row>
    <row r="105" ht="14.25" spans="1:38">
      <c r="A105" s="46" t="s">
        <v>192</v>
      </c>
      <c r="B105" s="43"/>
      <c r="C105" s="43"/>
      <c r="D105" s="43">
        <v>0</v>
      </c>
      <c r="E105" s="43">
        <v>0</v>
      </c>
      <c r="F105" s="43"/>
      <c r="G105" s="43"/>
      <c r="H105" s="43"/>
      <c r="I105" s="43">
        <v>0</v>
      </c>
      <c r="J105" s="43">
        <v>0</v>
      </c>
      <c r="K105" s="43"/>
      <c r="L105" s="43"/>
      <c r="M105" s="43"/>
      <c r="N105" s="43"/>
      <c r="O105" s="43"/>
      <c r="P105" s="43">
        <v>0</v>
      </c>
      <c r="Q105" s="43"/>
      <c r="R105" s="43"/>
      <c r="S105" s="43"/>
      <c r="T105" s="43"/>
      <c r="U105" s="43"/>
      <c r="V105" s="43">
        <v>90</v>
      </c>
      <c r="W105" s="43">
        <v>0</v>
      </c>
      <c r="X105" s="43">
        <v>0</v>
      </c>
      <c r="Y105" s="43"/>
      <c r="Z105" s="43"/>
      <c r="AA105" s="43"/>
      <c r="AB105" s="43">
        <v>0</v>
      </c>
      <c r="AC105" s="43"/>
      <c r="AD105" s="43"/>
      <c r="AE105" s="43">
        <v>0</v>
      </c>
      <c r="AF105" s="43"/>
      <c r="AG105" s="43"/>
      <c r="AH105" s="43"/>
      <c r="AI105" s="43">
        <v>0</v>
      </c>
      <c r="AJ105" s="43"/>
      <c r="AK105" s="43"/>
      <c r="AL105" s="13">
        <f t="shared" si="1"/>
        <v>90</v>
      </c>
    </row>
    <row r="106" ht="14.25" spans="1:38">
      <c r="A106" s="46" t="s">
        <v>959</v>
      </c>
      <c r="B106" s="43"/>
      <c r="C106" s="43"/>
      <c r="D106" s="43">
        <v>0</v>
      </c>
      <c r="E106" s="43">
        <v>0</v>
      </c>
      <c r="F106" s="43"/>
      <c r="G106" s="43"/>
      <c r="H106" s="43"/>
      <c r="I106" s="43">
        <v>0</v>
      </c>
      <c r="J106" s="43">
        <v>0</v>
      </c>
      <c r="K106" s="43"/>
      <c r="L106" s="43"/>
      <c r="M106" s="43"/>
      <c r="N106" s="43"/>
      <c r="O106" s="43"/>
      <c r="P106" s="43">
        <v>0</v>
      </c>
      <c r="Q106" s="43"/>
      <c r="R106" s="43"/>
      <c r="S106" s="43"/>
      <c r="T106" s="43"/>
      <c r="U106" s="43"/>
      <c r="V106" s="43">
        <v>0</v>
      </c>
      <c r="W106" s="43">
        <v>0</v>
      </c>
      <c r="X106" s="43">
        <v>0</v>
      </c>
      <c r="Y106" s="43"/>
      <c r="Z106" s="43"/>
      <c r="AA106" s="43"/>
      <c r="AB106" s="43">
        <v>0</v>
      </c>
      <c r="AC106" s="43"/>
      <c r="AD106" s="43"/>
      <c r="AE106" s="43">
        <v>0</v>
      </c>
      <c r="AF106" s="43"/>
      <c r="AG106" s="43"/>
      <c r="AH106" s="43"/>
      <c r="AI106" s="43">
        <v>0</v>
      </c>
      <c r="AJ106" s="43"/>
      <c r="AK106" s="43"/>
      <c r="AL106" s="13">
        <f t="shared" si="1"/>
        <v>0</v>
      </c>
    </row>
    <row r="107" ht="14.25" spans="1:38">
      <c r="A107" s="50" t="s">
        <v>235</v>
      </c>
      <c r="B107" s="43"/>
      <c r="C107" s="43"/>
      <c r="D107" s="43">
        <v>0</v>
      </c>
      <c r="E107" s="43">
        <v>0</v>
      </c>
      <c r="F107" s="43"/>
      <c r="G107" s="43"/>
      <c r="H107" s="43"/>
      <c r="I107" s="43">
        <v>0</v>
      </c>
      <c r="J107" s="43">
        <v>150</v>
      </c>
      <c r="K107" s="43"/>
      <c r="L107" s="43"/>
      <c r="M107" s="43"/>
      <c r="N107" s="43"/>
      <c r="O107" s="43"/>
      <c r="P107" s="43">
        <v>0</v>
      </c>
      <c r="Q107" s="43"/>
      <c r="R107" s="43"/>
      <c r="S107" s="43"/>
      <c r="T107" s="43"/>
      <c r="U107" s="43"/>
      <c r="V107" s="43">
        <v>0</v>
      </c>
      <c r="W107" s="43">
        <v>0</v>
      </c>
      <c r="X107" s="43">
        <v>0</v>
      </c>
      <c r="Y107" s="43"/>
      <c r="Z107" s="43"/>
      <c r="AA107" s="43"/>
      <c r="AB107" s="43">
        <v>0</v>
      </c>
      <c r="AC107" s="43"/>
      <c r="AD107" s="43"/>
      <c r="AE107" s="43">
        <v>0</v>
      </c>
      <c r="AF107" s="43"/>
      <c r="AG107" s="43"/>
      <c r="AH107" s="43"/>
      <c r="AI107" s="43">
        <v>0</v>
      </c>
      <c r="AJ107" s="43"/>
      <c r="AK107" s="43"/>
      <c r="AL107" s="13">
        <f t="shared" si="1"/>
        <v>150</v>
      </c>
    </row>
    <row r="108" ht="14.25" spans="1:38">
      <c r="A108" s="50" t="s">
        <v>199</v>
      </c>
      <c r="B108" s="43"/>
      <c r="C108" s="43"/>
      <c r="D108" s="43">
        <v>0</v>
      </c>
      <c r="E108" s="43">
        <v>0</v>
      </c>
      <c r="F108" s="43"/>
      <c r="G108" s="43"/>
      <c r="H108" s="43"/>
      <c r="I108" s="43">
        <v>160</v>
      </c>
      <c r="J108" s="43">
        <v>0</v>
      </c>
      <c r="K108" s="43"/>
      <c r="L108" s="43"/>
      <c r="M108" s="43"/>
      <c r="N108" s="43"/>
      <c r="O108" s="43"/>
      <c r="P108" s="43">
        <v>0</v>
      </c>
      <c r="Q108" s="43"/>
      <c r="R108" s="43"/>
      <c r="S108" s="43"/>
      <c r="T108" s="43"/>
      <c r="U108" s="43"/>
      <c r="V108" s="43">
        <v>0</v>
      </c>
      <c r="W108" s="43">
        <v>0</v>
      </c>
      <c r="X108" s="43">
        <v>0</v>
      </c>
      <c r="Y108" s="43"/>
      <c r="Z108" s="43"/>
      <c r="AA108" s="43"/>
      <c r="AB108" s="43">
        <v>0</v>
      </c>
      <c r="AC108" s="43"/>
      <c r="AD108" s="43"/>
      <c r="AE108" s="43">
        <v>0</v>
      </c>
      <c r="AF108" s="43"/>
      <c r="AG108" s="43"/>
      <c r="AH108" s="43"/>
      <c r="AI108" s="43">
        <v>0</v>
      </c>
      <c r="AJ108" s="43"/>
      <c r="AK108" s="43"/>
      <c r="AL108" s="25">
        <f t="shared" si="1"/>
        <v>160</v>
      </c>
    </row>
    <row r="109" ht="14.25" spans="1:38">
      <c r="A109" s="50" t="s">
        <v>219</v>
      </c>
      <c r="B109" s="43"/>
      <c r="C109" s="43"/>
      <c r="D109" s="43">
        <v>0</v>
      </c>
      <c r="E109" s="43">
        <v>0</v>
      </c>
      <c r="F109" s="43"/>
      <c r="G109" s="43"/>
      <c r="H109" s="43"/>
      <c r="I109" s="43">
        <v>0</v>
      </c>
      <c r="J109" s="43">
        <v>0</v>
      </c>
      <c r="K109" s="43"/>
      <c r="L109" s="43"/>
      <c r="M109" s="43"/>
      <c r="N109" s="43"/>
      <c r="O109" s="43"/>
      <c r="P109" s="43">
        <v>0</v>
      </c>
      <c r="Q109" s="43"/>
      <c r="R109" s="43"/>
      <c r="S109" s="43"/>
      <c r="T109" s="43"/>
      <c r="U109" s="43"/>
      <c r="V109" s="43">
        <v>13</v>
      </c>
      <c r="W109" s="43">
        <v>6.5</v>
      </c>
      <c r="X109" s="43">
        <v>34.5</v>
      </c>
      <c r="Y109" s="43"/>
      <c r="Z109" s="43"/>
      <c r="AA109" s="43"/>
      <c r="AB109" s="43">
        <v>0</v>
      </c>
      <c r="AC109" s="43"/>
      <c r="AD109" s="43"/>
      <c r="AE109" s="43">
        <v>0</v>
      </c>
      <c r="AF109" s="43"/>
      <c r="AG109" s="43"/>
      <c r="AH109" s="43"/>
      <c r="AI109" s="43">
        <v>0</v>
      </c>
      <c r="AJ109" s="43"/>
      <c r="AK109" s="43"/>
      <c r="AL109" s="13">
        <f t="shared" si="1"/>
        <v>54</v>
      </c>
    </row>
    <row r="110" ht="14.25" spans="1:38">
      <c r="A110" s="50" t="s">
        <v>252</v>
      </c>
      <c r="B110" s="43"/>
      <c r="C110" s="43"/>
      <c r="D110" s="43">
        <v>0</v>
      </c>
      <c r="E110" s="43">
        <v>0</v>
      </c>
      <c r="F110" s="43"/>
      <c r="G110" s="43"/>
      <c r="H110" s="43"/>
      <c r="I110" s="43">
        <v>0</v>
      </c>
      <c r="J110" s="43">
        <v>0</v>
      </c>
      <c r="K110" s="43"/>
      <c r="L110" s="43"/>
      <c r="M110" s="43"/>
      <c r="N110" s="43"/>
      <c r="O110" s="43"/>
      <c r="P110" s="43">
        <v>0</v>
      </c>
      <c r="Q110" s="43"/>
      <c r="R110" s="43"/>
      <c r="S110" s="43"/>
      <c r="T110" s="43"/>
      <c r="U110" s="43"/>
      <c r="V110" s="43">
        <v>15</v>
      </c>
      <c r="W110" s="43">
        <v>13</v>
      </c>
      <c r="X110" s="43">
        <v>56</v>
      </c>
      <c r="Y110" s="43"/>
      <c r="Z110" s="43"/>
      <c r="AA110" s="43"/>
      <c r="AB110" s="43">
        <v>0</v>
      </c>
      <c r="AC110" s="43"/>
      <c r="AD110" s="43"/>
      <c r="AE110" s="43">
        <v>0</v>
      </c>
      <c r="AF110" s="43"/>
      <c r="AG110" s="43"/>
      <c r="AH110" s="43"/>
      <c r="AI110" s="43">
        <v>0</v>
      </c>
      <c r="AJ110" s="43"/>
      <c r="AK110" s="43"/>
      <c r="AL110" s="13">
        <f t="shared" si="1"/>
        <v>84</v>
      </c>
    </row>
    <row r="111" ht="14.25" spans="1:38">
      <c r="A111" s="51" t="s">
        <v>216</v>
      </c>
      <c r="B111" s="43"/>
      <c r="C111" s="43"/>
      <c r="D111" s="43">
        <v>0</v>
      </c>
      <c r="E111" s="43">
        <v>0</v>
      </c>
      <c r="F111" s="43"/>
      <c r="G111" s="43"/>
      <c r="H111" s="43"/>
      <c r="I111" s="43">
        <v>0</v>
      </c>
      <c r="J111" s="43">
        <v>0</v>
      </c>
      <c r="K111" s="43"/>
      <c r="L111" s="43"/>
      <c r="M111" s="43"/>
      <c r="N111" s="43"/>
      <c r="O111" s="43"/>
      <c r="P111" s="43">
        <v>120</v>
      </c>
      <c r="Q111" s="43"/>
      <c r="R111" s="43"/>
      <c r="S111" s="43"/>
      <c r="T111" s="43"/>
      <c r="U111" s="43"/>
      <c r="V111" s="43">
        <v>0</v>
      </c>
      <c r="W111" s="43">
        <v>0</v>
      </c>
      <c r="X111" s="43"/>
      <c r="Y111" s="43"/>
      <c r="Z111" s="43"/>
      <c r="AA111" s="43"/>
      <c r="AB111" s="43">
        <v>0</v>
      </c>
      <c r="AC111" s="43"/>
      <c r="AD111" s="43"/>
      <c r="AE111" s="43">
        <v>0</v>
      </c>
      <c r="AF111" s="43"/>
      <c r="AG111" s="43"/>
      <c r="AH111" s="43"/>
      <c r="AI111" s="43">
        <v>0</v>
      </c>
      <c r="AJ111" s="43"/>
      <c r="AK111" s="43"/>
      <c r="AL111" s="13">
        <f t="shared" si="1"/>
        <v>120</v>
      </c>
    </row>
    <row r="112" ht="14.25" spans="1:38">
      <c r="A112" s="50" t="s">
        <v>146</v>
      </c>
      <c r="B112" s="43"/>
      <c r="C112" s="43"/>
      <c r="D112" s="43">
        <v>0</v>
      </c>
      <c r="E112" s="43">
        <v>20</v>
      </c>
      <c r="F112" s="43"/>
      <c r="G112" s="43"/>
      <c r="H112" s="43"/>
      <c r="I112" s="43"/>
      <c r="J112" s="43">
        <v>0</v>
      </c>
      <c r="K112" s="43"/>
      <c r="L112" s="43"/>
      <c r="M112" s="43"/>
      <c r="N112" s="43"/>
      <c r="O112" s="43"/>
      <c r="P112" s="43">
        <v>0</v>
      </c>
      <c r="Q112" s="43"/>
      <c r="R112" s="43"/>
      <c r="S112" s="43"/>
      <c r="T112" s="43"/>
      <c r="U112" s="43"/>
      <c r="V112" s="43">
        <v>0</v>
      </c>
      <c r="W112" s="43">
        <v>0</v>
      </c>
      <c r="X112" s="43">
        <v>0</v>
      </c>
      <c r="Y112" s="43"/>
      <c r="Z112" s="43"/>
      <c r="AA112" s="43"/>
      <c r="AB112" s="43">
        <v>0</v>
      </c>
      <c r="AC112" s="43"/>
      <c r="AD112" s="43"/>
      <c r="AE112" s="43">
        <v>24</v>
      </c>
      <c r="AF112" s="43">
        <v>7.5</v>
      </c>
      <c r="AG112" s="43"/>
      <c r="AH112" s="43"/>
      <c r="AI112" s="43">
        <v>0</v>
      </c>
      <c r="AJ112" s="43"/>
      <c r="AK112" s="43"/>
      <c r="AL112" s="13">
        <f t="shared" si="1"/>
        <v>51.5</v>
      </c>
    </row>
    <row r="113" ht="14.25" spans="1:38">
      <c r="A113" s="50" t="s">
        <v>249</v>
      </c>
      <c r="B113" s="43"/>
      <c r="C113" s="43"/>
      <c r="D113" s="43">
        <v>0</v>
      </c>
      <c r="E113" s="43">
        <v>9</v>
      </c>
      <c r="F113" s="43"/>
      <c r="G113" s="43"/>
      <c r="H113" s="43"/>
      <c r="I113" s="43"/>
      <c r="J113" s="43">
        <v>110</v>
      </c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>
        <v>0</v>
      </c>
      <c r="W113" s="43">
        <v>0</v>
      </c>
      <c r="X113" s="43">
        <v>0</v>
      </c>
      <c r="Y113" s="43"/>
      <c r="Z113" s="43"/>
      <c r="AA113" s="43"/>
      <c r="AB113" s="43">
        <v>0</v>
      </c>
      <c r="AC113" s="43"/>
      <c r="AD113" s="43"/>
      <c r="AE113" s="43">
        <v>21</v>
      </c>
      <c r="AF113" s="43"/>
      <c r="AG113" s="43"/>
      <c r="AH113" s="43"/>
      <c r="AI113" s="43">
        <v>0</v>
      </c>
      <c r="AJ113" s="43"/>
      <c r="AK113" s="43"/>
      <c r="AL113" s="13">
        <f t="shared" si="1"/>
        <v>140</v>
      </c>
    </row>
    <row r="114" ht="14.25" spans="1:38">
      <c r="A114" s="52" t="s">
        <v>246</v>
      </c>
      <c r="B114" s="43"/>
      <c r="C114" s="43"/>
      <c r="D114" s="43">
        <v>0</v>
      </c>
      <c r="E114" s="43">
        <v>0</v>
      </c>
      <c r="F114" s="43"/>
      <c r="G114" s="43"/>
      <c r="H114" s="43"/>
      <c r="I114" s="43"/>
      <c r="J114" s="43">
        <v>0</v>
      </c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>
        <v>0</v>
      </c>
      <c r="W114" s="43">
        <v>0</v>
      </c>
      <c r="X114" s="43">
        <v>0</v>
      </c>
      <c r="Y114" s="43"/>
      <c r="Z114" s="43"/>
      <c r="AA114" s="43"/>
      <c r="AB114" s="43">
        <v>30</v>
      </c>
      <c r="AC114" s="43"/>
      <c r="AD114" s="43"/>
      <c r="AE114" s="43">
        <v>0</v>
      </c>
      <c r="AF114" s="43"/>
      <c r="AG114" s="43"/>
      <c r="AH114" s="43"/>
      <c r="AI114" s="43">
        <v>6</v>
      </c>
      <c r="AJ114" s="43"/>
      <c r="AK114" s="43"/>
      <c r="AL114" s="25">
        <f t="shared" si="1"/>
        <v>36</v>
      </c>
    </row>
    <row r="115" ht="14.25" spans="1:38">
      <c r="A115" s="50" t="s">
        <v>960</v>
      </c>
      <c r="B115" s="43"/>
      <c r="C115" s="43"/>
      <c r="D115" s="43">
        <v>0</v>
      </c>
      <c r="E115" s="43">
        <v>0</v>
      </c>
      <c r="F115" s="43"/>
      <c r="G115" s="43"/>
      <c r="H115" s="43"/>
      <c r="I115" s="43"/>
      <c r="J115" s="43">
        <v>0</v>
      </c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>
        <v>0</v>
      </c>
      <c r="W115" s="43">
        <v>0</v>
      </c>
      <c r="X115" s="43">
        <v>0</v>
      </c>
      <c r="Y115" s="43"/>
      <c r="Z115" s="43"/>
      <c r="AA115" s="43"/>
      <c r="AB115" s="43">
        <v>0</v>
      </c>
      <c r="AC115" s="43"/>
      <c r="AD115" s="43"/>
      <c r="AE115" s="43">
        <v>0</v>
      </c>
      <c r="AF115" s="43"/>
      <c r="AG115" s="43"/>
      <c r="AH115" s="43"/>
      <c r="AI115" s="43">
        <v>0</v>
      </c>
      <c r="AJ115" s="43"/>
      <c r="AK115" s="43"/>
      <c r="AL115" s="13">
        <f t="shared" si="1"/>
        <v>0</v>
      </c>
    </row>
    <row r="116" ht="14.25" spans="1:38">
      <c r="A116" s="53">
        <v>755</v>
      </c>
      <c r="B116" s="43"/>
      <c r="C116" s="43"/>
      <c r="D116" s="43">
        <v>20</v>
      </c>
      <c r="E116" s="43">
        <v>9</v>
      </c>
      <c r="F116" s="43"/>
      <c r="G116" s="43"/>
      <c r="H116" s="43"/>
      <c r="I116" s="43"/>
      <c r="J116" s="43">
        <v>0</v>
      </c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>
        <v>0</v>
      </c>
      <c r="W116" s="43">
        <v>0</v>
      </c>
      <c r="X116" s="43">
        <v>0</v>
      </c>
      <c r="Y116" s="43"/>
      <c r="Z116" s="43"/>
      <c r="AA116" s="43"/>
      <c r="AB116" s="43">
        <v>0</v>
      </c>
      <c r="AC116" s="43"/>
      <c r="AD116" s="43"/>
      <c r="AE116" s="43">
        <v>21</v>
      </c>
      <c r="AF116" s="43"/>
      <c r="AG116" s="43"/>
      <c r="AH116" s="43"/>
      <c r="AI116" s="43">
        <v>0</v>
      </c>
      <c r="AJ116" s="43"/>
      <c r="AK116" s="43"/>
      <c r="AL116" s="25">
        <f t="shared" si="1"/>
        <v>50</v>
      </c>
    </row>
    <row r="117" ht="14.25" spans="1:38">
      <c r="A117" s="54" t="s">
        <v>961</v>
      </c>
      <c r="B117" s="43"/>
      <c r="C117" s="43"/>
      <c r="D117" s="43"/>
      <c r="E117" s="43"/>
      <c r="F117" s="43"/>
      <c r="G117" s="43"/>
      <c r="H117" s="43"/>
      <c r="I117" s="43"/>
      <c r="J117" s="43">
        <v>0</v>
      </c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>
        <v>0</v>
      </c>
      <c r="W117" s="43">
        <v>0</v>
      </c>
      <c r="X117" s="43">
        <v>0</v>
      </c>
      <c r="Y117" s="43"/>
      <c r="Z117" s="43"/>
      <c r="AA117" s="43"/>
      <c r="AB117" s="43">
        <v>0</v>
      </c>
      <c r="AC117" s="43"/>
      <c r="AD117" s="43"/>
      <c r="AE117" s="43"/>
      <c r="AF117" s="43"/>
      <c r="AG117" s="43"/>
      <c r="AH117" s="43"/>
      <c r="AI117" s="43">
        <v>0</v>
      </c>
      <c r="AJ117" s="43"/>
      <c r="AK117" s="43"/>
      <c r="AL117" s="13">
        <f t="shared" si="1"/>
        <v>0</v>
      </c>
    </row>
    <row r="118" ht="14.25" spans="1:38">
      <c r="A118" s="53" t="s">
        <v>238</v>
      </c>
      <c r="B118" s="43"/>
      <c r="C118" s="43"/>
      <c r="D118" s="43"/>
      <c r="E118" s="43"/>
      <c r="F118" s="43"/>
      <c r="G118" s="43"/>
      <c r="H118" s="43"/>
      <c r="I118" s="43"/>
      <c r="J118" s="43">
        <v>40</v>
      </c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>
        <v>0</v>
      </c>
      <c r="W118" s="43">
        <v>0</v>
      </c>
      <c r="X118" s="43">
        <v>0</v>
      </c>
      <c r="Y118" s="43"/>
      <c r="Z118" s="43"/>
      <c r="AA118" s="43"/>
      <c r="AB118" s="43">
        <v>0</v>
      </c>
      <c r="AC118" s="43"/>
      <c r="AD118" s="43"/>
      <c r="AE118" s="43"/>
      <c r="AF118" s="43"/>
      <c r="AG118" s="43"/>
      <c r="AH118" s="43"/>
      <c r="AI118" s="43">
        <v>0</v>
      </c>
      <c r="AJ118" s="43"/>
      <c r="AK118" s="43"/>
      <c r="AL118" s="25">
        <f t="shared" si="1"/>
        <v>40</v>
      </c>
    </row>
    <row r="119" ht="14.25" spans="1:38">
      <c r="A119" s="53" t="s">
        <v>181</v>
      </c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>
        <v>0</v>
      </c>
      <c r="W119" s="43">
        <v>0</v>
      </c>
      <c r="X119" s="43">
        <v>0</v>
      </c>
      <c r="Y119" s="43"/>
      <c r="Z119" s="43"/>
      <c r="AA119" s="43"/>
      <c r="AB119" s="43">
        <v>0</v>
      </c>
      <c r="AC119" s="43"/>
      <c r="AD119" s="43"/>
      <c r="AE119" s="43"/>
      <c r="AF119" s="43">
        <v>15</v>
      </c>
      <c r="AG119" s="43"/>
      <c r="AH119" s="43"/>
      <c r="AI119" s="43">
        <v>0</v>
      </c>
      <c r="AJ119" s="43"/>
      <c r="AK119" s="43"/>
      <c r="AL119" s="25">
        <f t="shared" si="1"/>
        <v>15</v>
      </c>
    </row>
    <row r="120" ht="14.25" spans="1:38">
      <c r="A120" s="55" t="s">
        <v>962</v>
      </c>
      <c r="B120" s="43"/>
      <c r="C120" s="43"/>
      <c r="D120" s="43"/>
      <c r="E120" s="43"/>
      <c r="F120" s="43"/>
      <c r="G120" s="43"/>
      <c r="H120" s="43"/>
      <c r="I120" s="43"/>
      <c r="J120" s="43">
        <v>120</v>
      </c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>
        <v>0</v>
      </c>
      <c r="W120" s="43">
        <v>0</v>
      </c>
      <c r="X120" s="43">
        <v>0</v>
      </c>
      <c r="Y120" s="43"/>
      <c r="Z120" s="43"/>
      <c r="AA120" s="43"/>
      <c r="AB120" s="43">
        <v>0</v>
      </c>
      <c r="AC120" s="43"/>
      <c r="AD120" s="43"/>
      <c r="AE120" s="43"/>
      <c r="AF120" s="43"/>
      <c r="AG120" s="43"/>
      <c r="AH120" s="43"/>
      <c r="AI120" s="43">
        <v>0</v>
      </c>
      <c r="AJ120" s="43"/>
      <c r="AK120" s="43"/>
      <c r="AL120" s="13">
        <f t="shared" si="1"/>
        <v>120</v>
      </c>
    </row>
    <row r="121" ht="14.25" spans="1:38">
      <c r="A121" s="56" t="s">
        <v>213</v>
      </c>
      <c r="B121" s="43"/>
      <c r="C121" s="43"/>
      <c r="D121" s="43"/>
      <c r="E121" s="43"/>
      <c r="F121" s="43"/>
      <c r="G121" s="43"/>
      <c r="H121" s="43"/>
      <c r="I121" s="43"/>
      <c r="J121" s="43">
        <v>28</v>
      </c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>
        <v>0</v>
      </c>
      <c r="W121" s="43">
        <v>0</v>
      </c>
      <c r="X121" s="43">
        <v>0</v>
      </c>
      <c r="Y121" s="43"/>
      <c r="Z121" s="43"/>
      <c r="AA121" s="43"/>
      <c r="AB121" s="43">
        <v>0</v>
      </c>
      <c r="AC121" s="43"/>
      <c r="AD121" s="43"/>
      <c r="AE121" s="43"/>
      <c r="AF121" s="43"/>
      <c r="AG121" s="43"/>
      <c r="AH121" s="43"/>
      <c r="AI121" s="43">
        <v>0</v>
      </c>
      <c r="AJ121" s="43"/>
      <c r="AK121" s="43"/>
      <c r="AL121" s="25">
        <f t="shared" si="1"/>
        <v>28</v>
      </c>
    </row>
    <row r="122" ht="14.25" spans="1:38">
      <c r="A122" s="56" t="s">
        <v>222</v>
      </c>
      <c r="B122" s="43"/>
      <c r="C122" s="43"/>
      <c r="D122" s="43"/>
      <c r="E122" s="43"/>
      <c r="F122" s="43"/>
      <c r="G122" s="43"/>
      <c r="H122" s="43"/>
      <c r="I122" s="43"/>
      <c r="J122" s="43">
        <v>0</v>
      </c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>
        <v>13</v>
      </c>
      <c r="W122" s="43">
        <v>19.5</v>
      </c>
      <c r="X122" s="43">
        <v>57.5</v>
      </c>
      <c r="Y122" s="43"/>
      <c r="Z122" s="43"/>
      <c r="AA122" s="43"/>
      <c r="AB122" s="43">
        <v>0</v>
      </c>
      <c r="AC122" s="43"/>
      <c r="AD122" s="43"/>
      <c r="AE122" s="43"/>
      <c r="AF122" s="43"/>
      <c r="AG122" s="43"/>
      <c r="AH122" s="43"/>
      <c r="AI122" s="43">
        <v>0</v>
      </c>
      <c r="AJ122" s="43"/>
      <c r="AK122" s="43"/>
      <c r="AL122" s="13">
        <f t="shared" si="1"/>
        <v>90</v>
      </c>
    </row>
    <row r="123" ht="14.25" spans="1:38">
      <c r="A123" s="56" t="s">
        <v>963</v>
      </c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>
        <v>13</v>
      </c>
      <c r="X123" s="43">
        <v>60</v>
      </c>
      <c r="Y123" s="43"/>
      <c r="Z123" s="43"/>
      <c r="AA123" s="43"/>
      <c r="AB123" s="43">
        <v>20</v>
      </c>
      <c r="AC123" s="43"/>
      <c r="AD123" s="43"/>
      <c r="AE123" s="43"/>
      <c r="AF123" s="43"/>
      <c r="AG123" s="43"/>
      <c r="AH123" s="43"/>
      <c r="AI123" s="43">
        <v>4</v>
      </c>
      <c r="AJ123" s="43"/>
      <c r="AK123" s="43"/>
      <c r="AL123" s="13">
        <f t="shared" si="1"/>
        <v>97</v>
      </c>
    </row>
    <row r="124" ht="14.25" spans="1:38">
      <c r="A124" s="56" t="s">
        <v>183</v>
      </c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>
        <v>15</v>
      </c>
      <c r="AG124" s="43"/>
      <c r="AH124" s="43"/>
      <c r="AI124" s="43"/>
      <c r="AJ124" s="43"/>
      <c r="AK124" s="43"/>
      <c r="AL124" s="25">
        <f t="shared" si="1"/>
        <v>15</v>
      </c>
    </row>
    <row r="125" ht="14.25" spans="1:38">
      <c r="A125" s="56" t="s">
        <v>964</v>
      </c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13">
        <f t="shared" si="1"/>
        <v>0</v>
      </c>
    </row>
    <row r="126" ht="14.25" spans="1:38">
      <c r="A126" s="53" t="s">
        <v>120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>
        <v>9.9</v>
      </c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>
        <v>3.3</v>
      </c>
      <c r="AI126" s="43"/>
      <c r="AJ126" s="43"/>
      <c r="AK126" s="43"/>
      <c r="AL126" s="13">
        <f t="shared" si="1"/>
        <v>13.2</v>
      </c>
    </row>
    <row r="127" ht="14.25" spans="1:38">
      <c r="A127" s="57" t="s">
        <v>261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>
        <v>255</v>
      </c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>
        <v>51</v>
      </c>
      <c r="AI127" s="43"/>
      <c r="AJ127" s="43"/>
      <c r="AK127" s="43"/>
      <c r="AL127" s="25">
        <f t="shared" si="1"/>
        <v>306</v>
      </c>
    </row>
    <row r="128" ht="14.25" spans="1:38">
      <c r="A128" s="57" t="s">
        <v>258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>
        <v>5</v>
      </c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>
        <v>1</v>
      </c>
      <c r="AI128" s="43"/>
      <c r="AJ128" s="43"/>
      <c r="AK128" s="43"/>
      <c r="AL128" s="25">
        <f t="shared" si="1"/>
        <v>6</v>
      </c>
    </row>
    <row r="129" ht="27" customHeight="1" spans="1:38">
      <c r="A129" s="58" t="s">
        <v>965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13">
        <f t="shared" si="1"/>
        <v>0</v>
      </c>
    </row>
    <row r="130" ht="14.25" spans="1:38">
      <c r="A130" s="3" t="s">
        <v>36</v>
      </c>
      <c r="B130" s="43"/>
      <c r="C130" s="43"/>
      <c r="D130" s="43">
        <v>400</v>
      </c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13">
        <f t="shared" si="1"/>
        <v>400</v>
      </c>
    </row>
    <row r="131" ht="14.25" spans="1:38">
      <c r="A131" s="3" t="s">
        <v>39</v>
      </c>
      <c r="B131" s="43"/>
      <c r="C131" s="43"/>
      <c r="D131" s="43"/>
      <c r="E131" s="43"/>
      <c r="F131" s="43">
        <v>3740</v>
      </c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13">
        <f t="shared" ref="AL131:AL146" si="2">SUM(B131:AK131)</f>
        <v>3740</v>
      </c>
    </row>
    <row r="132" ht="14.25" spans="1:38">
      <c r="A132" s="3" t="s">
        <v>40</v>
      </c>
      <c r="B132" s="43"/>
      <c r="C132" s="43"/>
      <c r="D132" s="43"/>
      <c r="E132" s="43"/>
      <c r="F132" s="43"/>
      <c r="G132" s="43">
        <v>1550</v>
      </c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13">
        <f t="shared" si="2"/>
        <v>1550</v>
      </c>
    </row>
    <row r="133" ht="14.25" spans="1:38">
      <c r="A133" s="4" t="s">
        <v>41</v>
      </c>
      <c r="B133" s="43"/>
      <c r="C133" s="43"/>
      <c r="D133" s="43"/>
      <c r="E133" s="43"/>
      <c r="F133" s="43"/>
      <c r="G133" s="43"/>
      <c r="H133" s="43">
        <v>210</v>
      </c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13">
        <f t="shared" si="2"/>
        <v>210</v>
      </c>
    </row>
    <row r="134" ht="14.25" spans="1:38">
      <c r="A134" s="4" t="s">
        <v>44</v>
      </c>
      <c r="B134" s="43"/>
      <c r="C134" s="43"/>
      <c r="D134" s="43"/>
      <c r="E134" s="43"/>
      <c r="F134" s="43"/>
      <c r="G134" s="43"/>
      <c r="H134" s="43"/>
      <c r="I134" s="43"/>
      <c r="J134" s="43"/>
      <c r="K134" s="43">
        <v>500</v>
      </c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13">
        <f t="shared" si="2"/>
        <v>500</v>
      </c>
    </row>
    <row r="135" ht="14.25" spans="1:38">
      <c r="A135" s="4" t="s">
        <v>35</v>
      </c>
      <c r="B135" s="43"/>
      <c r="C135" s="43">
        <v>8560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13">
        <f t="shared" si="2"/>
        <v>8560</v>
      </c>
    </row>
    <row r="136" ht="14.25" spans="1:38">
      <c r="A136" s="3" t="s">
        <v>45</v>
      </c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>
        <v>500</v>
      </c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13">
        <f t="shared" si="2"/>
        <v>500</v>
      </c>
    </row>
    <row r="137" ht="14.25" spans="1:38">
      <c r="A137" s="5" t="s">
        <v>46</v>
      </c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>
        <v>5650</v>
      </c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13">
        <f t="shared" si="2"/>
        <v>5650</v>
      </c>
    </row>
    <row r="138" ht="14.25" spans="1:38">
      <c r="A138" s="3" t="s">
        <v>47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>
        <v>5500</v>
      </c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13">
        <f t="shared" si="2"/>
        <v>5500</v>
      </c>
    </row>
    <row r="139" ht="14.25" spans="1:38">
      <c r="A139" s="3" t="s">
        <v>43</v>
      </c>
      <c r="B139" s="43"/>
      <c r="C139" s="43"/>
      <c r="D139" s="43"/>
      <c r="E139" s="43"/>
      <c r="F139" s="43"/>
      <c r="G139" s="43"/>
      <c r="H139" s="43"/>
      <c r="I139" s="43"/>
      <c r="J139" s="43">
        <v>680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13">
        <f t="shared" si="2"/>
        <v>680</v>
      </c>
    </row>
    <row r="140" ht="14.25" spans="1:38">
      <c r="A140" s="3" t="s">
        <v>49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>
        <v>2533</v>
      </c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13">
        <f t="shared" si="2"/>
        <v>2533</v>
      </c>
    </row>
    <row r="141" ht="14.25" spans="1:38">
      <c r="A141" s="3" t="s">
        <v>50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>
        <v>2050</v>
      </c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13">
        <f t="shared" si="2"/>
        <v>2050</v>
      </c>
    </row>
    <row r="142" ht="14.25" spans="1:38">
      <c r="A142" s="3" t="s">
        <v>51</v>
      </c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>
        <v>60</v>
      </c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13">
        <f t="shared" si="2"/>
        <v>60</v>
      </c>
    </row>
    <row r="143" ht="14.25" spans="1:38">
      <c r="A143" s="3" t="s">
        <v>52</v>
      </c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>
        <v>3600</v>
      </c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13">
        <f t="shared" si="2"/>
        <v>3600</v>
      </c>
    </row>
    <row r="144" ht="14.25" spans="1:38">
      <c r="A144" s="3" t="s">
        <v>54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>
        <v>500</v>
      </c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13">
        <f t="shared" si="2"/>
        <v>500</v>
      </c>
    </row>
    <row r="145" ht="14.25" spans="1:38">
      <c r="A145" s="7" t="s">
        <v>58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>
        <v>400</v>
      </c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13">
        <f t="shared" si="2"/>
        <v>400</v>
      </c>
    </row>
    <row r="146" ht="14.25" spans="1:38">
      <c r="A146" s="7" t="s">
        <v>60</v>
      </c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>
        <v>80</v>
      </c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13">
        <f t="shared" si="2"/>
        <v>80</v>
      </c>
    </row>
    <row r="147" ht="24" customHeight="1" spans="1:38">
      <c r="A147" s="59" t="s">
        <v>966</v>
      </c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13"/>
    </row>
    <row r="148" ht="14.25" spans="1:38">
      <c r="A148" s="3" t="s">
        <v>967</v>
      </c>
      <c r="B148" s="43"/>
      <c r="C148" s="43"/>
      <c r="D148" s="43"/>
      <c r="E148" s="43"/>
      <c r="F148" s="43"/>
      <c r="G148" s="43"/>
      <c r="H148" s="43"/>
      <c r="I148" s="43"/>
      <c r="J148" s="43">
        <v>60</v>
      </c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13">
        <f t="shared" ref="AL148:AL155" si="3">SUM(B148:AK148)</f>
        <v>60</v>
      </c>
    </row>
    <row r="149" ht="14.25" spans="1:38">
      <c r="A149" s="3" t="s">
        <v>968</v>
      </c>
      <c r="B149" s="43">
        <v>100</v>
      </c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13">
        <f t="shared" si="3"/>
        <v>100</v>
      </c>
    </row>
    <row r="150" ht="14.25" spans="1:38">
      <c r="A150" s="3" t="s">
        <v>969</v>
      </c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>
        <v>210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13">
        <f t="shared" si="3"/>
        <v>210</v>
      </c>
    </row>
    <row r="151" ht="14.25" spans="1:38">
      <c r="A151" s="5" t="s">
        <v>970</v>
      </c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>
        <v>8</v>
      </c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13">
        <f t="shared" si="3"/>
        <v>8</v>
      </c>
    </row>
    <row r="152" ht="14.25" spans="1:38">
      <c r="A152" s="7" t="s">
        <v>971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>
        <v>2100</v>
      </c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13">
        <f t="shared" si="3"/>
        <v>2100</v>
      </c>
    </row>
    <row r="153" ht="14.25" spans="1:38">
      <c r="A153" s="3" t="s">
        <v>45</v>
      </c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>
        <v>1140</v>
      </c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13">
        <f t="shared" si="3"/>
        <v>1140</v>
      </c>
    </row>
    <row r="154" ht="17" customHeight="1" spans="1:38">
      <c r="A154" s="4" t="s">
        <v>972</v>
      </c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>
        <v>96</v>
      </c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13">
        <f t="shared" si="3"/>
        <v>96</v>
      </c>
    </row>
    <row r="155" ht="14.25" spans="1:38">
      <c r="A155" s="5" t="s">
        <v>973</v>
      </c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>
        <v>260</v>
      </c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13">
        <f t="shared" si="3"/>
        <v>260</v>
      </c>
    </row>
    <row r="156" ht="14.25" spans="1:38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13"/>
    </row>
    <row r="157" ht="14.25" spans="1:38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13"/>
    </row>
  </sheetData>
  <mergeCells count="3">
    <mergeCell ref="A1:A2"/>
    <mergeCell ref="AC1:AC2"/>
    <mergeCell ref="AL1:AL2"/>
  </mergeCell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原材料（2）</vt:lpstr>
      <vt:lpstr>账里原材料</vt:lpstr>
      <vt:lpstr>产成品（2）</vt:lpstr>
      <vt:lpstr>Sheet2</vt:lpstr>
      <vt:lpstr>Sheet3</vt:lpstr>
      <vt:lpstr>产量</vt:lpstr>
      <vt:lpstr>原材料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BeiNongCaiWu-09</dc:creator>
  <cp:lastModifiedBy>zzcw02</cp:lastModifiedBy>
  <dcterms:created xsi:type="dcterms:W3CDTF">2023-05-12T11:15:00Z</dcterms:created>
  <dcterms:modified xsi:type="dcterms:W3CDTF">2026-04-28T08:48:39Z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A44B8507F7C84F56B62F56E11CE00629_12</vt:lpwstr>
  </property>
</Properties>
</file>